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eil\source\repos\OCC\"/>
    </mc:Choice>
  </mc:AlternateContent>
  <xr:revisionPtr revIDLastSave="0" documentId="8_{4D478FFC-CDF1-4CBF-961E-47C87D77CCE1}" xr6:coauthVersionLast="47" xr6:coauthVersionMax="47" xr10:uidLastSave="{00000000-0000-0000-0000-000000000000}"/>
  <bookViews>
    <workbookView xWindow="-28920" yWindow="2475" windowWidth="29040" windowHeight="15720" xr2:uid="{00000000-000D-0000-FFFF-FFFF00000000}"/>
  </bookViews>
  <sheets>
    <sheet name="OCC" sheetId="3" r:id="rId1"/>
    <sheet name="STUB" sheetId="9" r:id="rId2"/>
    <sheet name="Sheet1" sheetId="10" r:id="rId3"/>
    <sheet name="KROONVAAL" sheetId="8" state="hidden" r:id="rId4"/>
  </sheets>
  <definedNames>
    <definedName name="monthNames" localSheetId="3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_xlnm.Print_Area" localSheetId="3">KROONVAAL!$A$1:$N$54</definedName>
    <definedName name="_xlnm.Print_Area" localSheetId="0">OCC!$A$1:$V$108</definedName>
    <definedName name="_xlnm.Print_Area" localSheetId="1">STUB!$A$1:$S$53</definedName>
    <definedName name="Project">#REF!</definedName>
    <definedName name="SiteList" localSheetId="3">#REF!</definedName>
    <definedName name="Sit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3" l="1"/>
  <c r="N40" i="3"/>
  <c r="N31" i="3"/>
  <c r="N29" i="3"/>
  <c r="N28" i="3"/>
  <c r="N34" i="3"/>
  <c r="N20" i="3"/>
  <c r="AD70" i="3"/>
  <c r="AB70" i="3"/>
  <c r="F70" i="3" s="1"/>
  <c r="T70" i="3" s="1"/>
  <c r="W70" i="3" s="1"/>
  <c r="X70" i="3"/>
  <c r="S70" i="3"/>
  <c r="J70" i="3"/>
  <c r="L70" i="3" s="1"/>
  <c r="I70" i="3"/>
  <c r="H70" i="3"/>
  <c r="G70" i="3"/>
  <c r="AD88" i="3"/>
  <c r="AB88" i="3"/>
  <c r="F88" i="3" s="1"/>
  <c r="X88" i="3"/>
  <c r="J88" i="3"/>
  <c r="I88" i="3"/>
  <c r="H88" i="3"/>
  <c r="G88" i="3"/>
  <c r="AD87" i="3"/>
  <c r="AB87" i="3"/>
  <c r="F87" i="3" s="1"/>
  <c r="X87" i="3"/>
  <c r="J87" i="3"/>
  <c r="I87" i="3"/>
  <c r="H87" i="3"/>
  <c r="G87" i="3"/>
  <c r="AD86" i="3"/>
  <c r="AB86" i="3"/>
  <c r="F86" i="3" s="1"/>
  <c r="X86" i="3"/>
  <c r="J86" i="3"/>
  <c r="I86" i="3"/>
  <c r="H86" i="3"/>
  <c r="G86" i="3"/>
  <c r="I10" i="9"/>
  <c r="H10" i="9"/>
  <c r="G10" i="9"/>
  <c r="W6" i="9"/>
  <c r="U10" i="9"/>
  <c r="X10" i="9"/>
  <c r="AB16" i="3"/>
  <c r="I77" i="3"/>
  <c r="S14" i="3"/>
  <c r="S9" i="3"/>
  <c r="S13" i="3"/>
  <c r="S16" i="3"/>
  <c r="S17" i="3"/>
  <c r="S21" i="3"/>
  <c r="S23" i="3"/>
  <c r="S26" i="3"/>
  <c r="S29" i="3"/>
  <c r="S31" i="3"/>
  <c r="S34" i="3"/>
  <c r="S36" i="3"/>
  <c r="S40" i="3"/>
  <c r="S41" i="3"/>
  <c r="S43" i="3"/>
  <c r="S44" i="3"/>
  <c r="S45" i="3"/>
  <c r="S49" i="3"/>
  <c r="S50" i="3"/>
  <c r="S51" i="3"/>
  <c r="S53" i="3"/>
  <c r="S54" i="3"/>
  <c r="S64" i="3"/>
  <c r="S63" i="3"/>
  <c r="S66" i="3"/>
  <c r="S68" i="3"/>
  <c r="S71" i="3"/>
  <c r="S72" i="3"/>
  <c r="S75" i="3"/>
  <c r="S76" i="3"/>
  <c r="S77" i="3"/>
  <c r="P96" i="3"/>
  <c r="Q96" i="3"/>
  <c r="R96" i="3"/>
  <c r="S96" i="3"/>
  <c r="T88" i="3" l="1"/>
  <c r="W88" i="3" s="1"/>
  <c r="T87" i="3"/>
  <c r="W87" i="3" s="1"/>
  <c r="T86" i="3"/>
  <c r="W86" i="3" s="1"/>
  <c r="T10" i="9"/>
  <c r="U3" i="9"/>
  <c r="S81" i="3"/>
  <c r="AB77" i="3"/>
  <c r="F77" i="3" s="1"/>
  <c r="AB76" i="3"/>
  <c r="AB75" i="3"/>
  <c r="AB74" i="3"/>
  <c r="F74" i="3" s="1"/>
  <c r="AB73" i="3"/>
  <c r="F73" i="3" s="1"/>
  <c r="AB72" i="3"/>
  <c r="AB71" i="3"/>
  <c r="F71" i="3" s="1"/>
  <c r="AB69" i="3"/>
  <c r="AB68" i="3"/>
  <c r="F68" i="3" s="1"/>
  <c r="AB67" i="3"/>
  <c r="F67" i="3" s="1"/>
  <c r="AB66" i="3"/>
  <c r="AB65" i="3"/>
  <c r="F65" i="3" s="1"/>
  <c r="AB63" i="3"/>
  <c r="F63" i="3" s="1"/>
  <c r="AB64" i="3"/>
  <c r="AB62" i="3"/>
  <c r="F62" i="3" s="1"/>
  <c r="AB61" i="3"/>
  <c r="F61" i="3" s="1"/>
  <c r="AB60" i="3"/>
  <c r="F60" i="3" s="1"/>
  <c r="AB54" i="3"/>
  <c r="F54" i="3" s="1"/>
  <c r="AB53" i="3"/>
  <c r="F53" i="3" s="1"/>
  <c r="AB52" i="3"/>
  <c r="AB51" i="3"/>
  <c r="AB50" i="3"/>
  <c r="F50" i="3" s="1"/>
  <c r="AB49" i="3"/>
  <c r="F49" i="3" s="1"/>
  <c r="AB48" i="3"/>
  <c r="AB47" i="3"/>
  <c r="F47" i="3" s="1"/>
  <c r="AB46" i="3"/>
  <c r="AB45" i="3"/>
  <c r="F45" i="3" s="1"/>
  <c r="AB44" i="3"/>
  <c r="F44" i="3" s="1"/>
  <c r="AB43" i="3"/>
  <c r="F43" i="3" s="1"/>
  <c r="AB42" i="3"/>
  <c r="F42" i="3" s="1"/>
  <c r="AB41" i="3"/>
  <c r="F41" i="3" s="1"/>
  <c r="AB40" i="3"/>
  <c r="AB39" i="3"/>
  <c r="AB38" i="3"/>
  <c r="F38" i="3" s="1"/>
  <c r="AB37" i="3"/>
  <c r="AB36" i="3"/>
  <c r="F36" i="3" s="1"/>
  <c r="AB35" i="3"/>
  <c r="F35" i="3" s="1"/>
  <c r="AB34" i="3"/>
  <c r="F34" i="3" s="1"/>
  <c r="AB33" i="3"/>
  <c r="AB32" i="3"/>
  <c r="F32" i="3" s="1"/>
  <c r="AB31" i="3"/>
  <c r="F31" i="3" s="1"/>
  <c r="AB30" i="3"/>
  <c r="AB28" i="3"/>
  <c r="F28" i="3" s="1"/>
  <c r="AB29" i="3"/>
  <c r="F29" i="3" s="1"/>
  <c r="AB27" i="3"/>
  <c r="AB26" i="3"/>
  <c r="F26" i="3" s="1"/>
  <c r="AB25" i="3"/>
  <c r="AB24" i="3"/>
  <c r="AB23" i="3"/>
  <c r="AB22" i="3"/>
  <c r="AB21" i="3"/>
  <c r="AB20" i="3"/>
  <c r="F20" i="3" s="1"/>
  <c r="AB19" i="3"/>
  <c r="F19" i="3" s="1"/>
  <c r="AB18" i="3"/>
  <c r="AB17" i="3"/>
  <c r="F17" i="3" s="1"/>
  <c r="F16" i="3"/>
  <c r="AB15" i="3"/>
  <c r="AB14" i="3"/>
  <c r="F14" i="3" s="1"/>
  <c r="AB10" i="3"/>
  <c r="F10" i="3" s="1"/>
  <c r="AB11" i="3"/>
  <c r="F11" i="3" s="1"/>
  <c r="AB12" i="3"/>
  <c r="F12" i="3" s="1"/>
  <c r="AB13" i="3"/>
  <c r="F13" i="3" s="1"/>
  <c r="AB9" i="3"/>
  <c r="F9" i="3" s="1"/>
  <c r="Q12" i="3"/>
  <c r="Q51" i="3"/>
  <c r="J9" i="3" l="1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6" i="3"/>
  <c r="L16" i="3" s="1"/>
  <c r="J17" i="3"/>
  <c r="L17" i="3" s="1"/>
  <c r="J19" i="3"/>
  <c r="J20" i="3"/>
  <c r="L20" i="3" s="1"/>
  <c r="J21" i="3"/>
  <c r="L21" i="3" s="1"/>
  <c r="J23" i="3"/>
  <c r="L23" i="3" s="1"/>
  <c r="J25" i="3"/>
  <c r="J26" i="3"/>
  <c r="L26" i="3" s="1"/>
  <c r="J29" i="3"/>
  <c r="L29" i="3" s="1"/>
  <c r="J28" i="3"/>
  <c r="L28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J53" i="3"/>
  <c r="L53" i="3" s="1"/>
  <c r="J54" i="3"/>
  <c r="L54" i="3" s="1"/>
  <c r="J60" i="3"/>
  <c r="L60" i="3" s="1"/>
  <c r="J61" i="3"/>
  <c r="L61" i="3" s="1"/>
  <c r="J62" i="3"/>
  <c r="L62" i="3" s="1"/>
  <c r="J64" i="3"/>
  <c r="L64" i="3"/>
  <c r="J63" i="3"/>
  <c r="L63" i="3" s="1"/>
  <c r="J65" i="3"/>
  <c r="L65" i="3" s="1"/>
  <c r="J66" i="3"/>
  <c r="L66" i="3" s="1"/>
  <c r="J67" i="3"/>
  <c r="J68" i="3"/>
  <c r="L68" i="3" s="1"/>
  <c r="J71" i="3"/>
  <c r="L71" i="3" s="1"/>
  <c r="J72" i="3"/>
  <c r="L72" i="3" s="1"/>
  <c r="J73" i="3"/>
  <c r="J74" i="3"/>
  <c r="L74" i="3" s="1"/>
  <c r="J75" i="3"/>
  <c r="L75" i="3" s="1"/>
  <c r="J76" i="3"/>
  <c r="L76" i="3" s="1"/>
  <c r="J77" i="3"/>
  <c r="L77" i="3" s="1"/>
  <c r="J79" i="3"/>
  <c r="L79" i="3" s="1"/>
  <c r="AD12" i="3"/>
  <c r="X12" i="3"/>
  <c r="I12" i="3"/>
  <c r="H12" i="3"/>
  <c r="G12" i="3"/>
  <c r="AD34" i="3"/>
  <c r="X34" i="3"/>
  <c r="I34" i="3"/>
  <c r="H34" i="3"/>
  <c r="G34" i="3"/>
  <c r="AD72" i="3"/>
  <c r="F72" i="3"/>
  <c r="X72" i="3"/>
  <c r="I72" i="3"/>
  <c r="H72" i="3"/>
  <c r="G72" i="3"/>
  <c r="L25" i="3" l="1"/>
  <c r="L67" i="3"/>
  <c r="L73" i="3"/>
  <c r="T34" i="3"/>
  <c r="W34" i="3" s="1"/>
  <c r="T72" i="3"/>
  <c r="W72" i="3" s="1"/>
  <c r="T96" i="3" l="1"/>
  <c r="T99" i="3" s="1"/>
  <c r="P104" i="3" s="1"/>
  <c r="F76" i="3"/>
  <c r="F51" i="3"/>
  <c r="I13" i="3" l="1"/>
  <c r="H13" i="3"/>
  <c r="G13" i="3"/>
  <c r="T13" i="3" l="1"/>
  <c r="W13" i="3" s="1"/>
  <c r="AD71" i="3" l="1"/>
  <c r="X71" i="3"/>
  <c r="I71" i="3"/>
  <c r="H71" i="3"/>
  <c r="G71" i="3"/>
  <c r="T71" i="3" l="1"/>
  <c r="W71" i="3" s="1"/>
  <c r="T52" i="3"/>
  <c r="T37" i="3" l="1"/>
  <c r="T22" i="3" l="1"/>
  <c r="T18" i="3"/>
  <c r="T15" i="3"/>
  <c r="T24" i="3" l="1"/>
  <c r="T27" i="3"/>
  <c r="AD10" i="3"/>
  <c r="F30" i="3" l="1"/>
  <c r="Q11" i="3" l="1"/>
  <c r="Q63" i="3" l="1"/>
  <c r="Q54" i="3"/>
  <c r="Q75" i="3"/>
  <c r="Q23" i="3"/>
  <c r="Q61" i="3"/>
  <c r="Q25" i="3"/>
  <c r="Q62" i="3"/>
  <c r="Q28" i="3"/>
  <c r="Q32" i="3"/>
  <c r="Q68" i="3"/>
  <c r="Q39" i="3"/>
  <c r="F64" i="3"/>
  <c r="F33" i="3"/>
  <c r="F48" i="3" l="1"/>
  <c r="G47" i="3" l="1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T50" i="3" l="1"/>
  <c r="T48" i="3"/>
  <c r="T49" i="3"/>
  <c r="T47" i="3"/>
  <c r="X28" i="3"/>
  <c r="X30" i="3"/>
  <c r="X31" i="3"/>
  <c r="X32" i="3"/>
  <c r="X33" i="3"/>
  <c r="X42" i="3"/>
  <c r="X62" i="3"/>
  <c r="P105" i="3"/>
  <c r="Q81" i="3"/>
  <c r="P81" i="3"/>
  <c r="X10" i="3"/>
  <c r="I10" i="3"/>
  <c r="H10" i="3"/>
  <c r="G10" i="3"/>
  <c r="AD42" i="3"/>
  <c r="I42" i="3"/>
  <c r="H42" i="3"/>
  <c r="G42" i="3"/>
  <c r="AD11" i="3"/>
  <c r="X11" i="3"/>
  <c r="I11" i="3"/>
  <c r="H11" i="3"/>
  <c r="G11" i="3"/>
  <c r="AD32" i="3"/>
  <c r="I32" i="3"/>
  <c r="H32" i="3"/>
  <c r="G32" i="3"/>
  <c r="AD28" i="3"/>
  <c r="I28" i="3"/>
  <c r="H28" i="3"/>
  <c r="G28" i="3"/>
  <c r="AD62" i="3"/>
  <c r="I62" i="3"/>
  <c r="H62" i="3"/>
  <c r="G62" i="3"/>
  <c r="AD38" i="3"/>
  <c r="X38" i="3"/>
  <c r="I38" i="3"/>
  <c r="H38" i="3"/>
  <c r="G38" i="3"/>
  <c r="T42" i="3" l="1"/>
  <c r="W42" i="3" s="1"/>
  <c r="T38" i="3"/>
  <c r="W38" i="3" s="1"/>
  <c r="T10" i="3"/>
  <c r="W10" i="3" s="1"/>
  <c r="F23" i="3" l="1"/>
  <c r="G23" i="3"/>
  <c r="H23" i="3"/>
  <c r="I23" i="3"/>
  <c r="AD35" i="3" l="1"/>
  <c r="X35" i="3"/>
  <c r="I35" i="3"/>
  <c r="H35" i="3"/>
  <c r="G35" i="3"/>
  <c r="T35" i="3" l="1"/>
  <c r="W35" i="3" s="1"/>
  <c r="AD45" i="3" l="1"/>
  <c r="X45" i="3"/>
  <c r="I45" i="3"/>
  <c r="H45" i="3"/>
  <c r="G45" i="3"/>
  <c r="T45" i="3" l="1"/>
  <c r="W45" i="3" s="1"/>
  <c r="F66" i="3" l="1"/>
  <c r="AD43" i="3"/>
  <c r="X43" i="3"/>
  <c r="I43" i="3"/>
  <c r="H43" i="3"/>
  <c r="G43" i="3"/>
  <c r="AD66" i="3"/>
  <c r="X66" i="3"/>
  <c r="I66" i="3"/>
  <c r="H66" i="3"/>
  <c r="G66" i="3"/>
  <c r="AD47" i="3"/>
  <c r="X47" i="3"/>
  <c r="T43" i="3" l="1"/>
  <c r="W43" i="3" s="1"/>
  <c r="T66" i="3"/>
  <c r="W66" i="3" s="1"/>
  <c r="W47" i="3"/>
  <c r="G20" i="3" l="1"/>
  <c r="H20" i="3"/>
  <c r="I20" i="3"/>
  <c r="X20" i="3"/>
  <c r="AD20" i="3"/>
  <c r="G9" i="3"/>
  <c r="H9" i="3"/>
  <c r="I9" i="3"/>
  <c r="X9" i="3"/>
  <c r="AD9" i="3"/>
  <c r="AD60" i="3"/>
  <c r="AD64" i="3"/>
  <c r="X64" i="3"/>
  <c r="I64" i="3"/>
  <c r="H64" i="3"/>
  <c r="G64" i="3"/>
  <c r="AD73" i="3"/>
  <c r="X73" i="3"/>
  <c r="I73" i="3"/>
  <c r="H73" i="3"/>
  <c r="G73" i="3"/>
  <c r="T73" i="3" l="1"/>
  <c r="W73" i="3" s="1"/>
  <c r="T9" i="3"/>
  <c r="T64" i="3"/>
  <c r="W64" i="3" s="1"/>
  <c r="T20" i="3"/>
  <c r="W20" i="3" s="1"/>
  <c r="X14" i="3"/>
  <c r="AC5" i="3" l="1"/>
  <c r="X3" i="3" s="1"/>
  <c r="AD33" i="3"/>
  <c r="I33" i="3"/>
  <c r="H33" i="3"/>
  <c r="G33" i="3"/>
  <c r="T33" i="3" l="1"/>
  <c r="G16" i="3"/>
  <c r="H16" i="3"/>
  <c r="I16" i="3"/>
  <c r="G17" i="3"/>
  <c r="H17" i="3"/>
  <c r="I17" i="3"/>
  <c r="R12" i="3" l="1"/>
  <c r="T12" i="3" s="1"/>
  <c r="W12" i="3" s="1"/>
  <c r="R51" i="3"/>
  <c r="T51" i="3" s="1"/>
  <c r="R11" i="3"/>
  <c r="T11" i="3" s="1"/>
  <c r="T17" i="3"/>
  <c r="T16" i="3"/>
  <c r="W33" i="3"/>
  <c r="R28" i="3" l="1"/>
  <c r="R54" i="3"/>
  <c r="R25" i="3"/>
  <c r="R68" i="3"/>
  <c r="R63" i="3"/>
  <c r="R75" i="3"/>
  <c r="R61" i="3"/>
  <c r="R39" i="3"/>
  <c r="R32" i="3"/>
  <c r="T32" i="3" s="1"/>
  <c r="W32" i="3" s="1"/>
  <c r="R23" i="3"/>
  <c r="T23" i="3" s="1"/>
  <c r="R62" i="3"/>
  <c r="T62" i="3" s="1"/>
  <c r="W62" i="3" s="1"/>
  <c r="W11" i="3"/>
  <c r="G31" i="3"/>
  <c r="H31" i="3"/>
  <c r="I31" i="3"/>
  <c r="AD31" i="3"/>
  <c r="T28" i="3" l="1"/>
  <c r="W28" i="3" s="1"/>
  <c r="R81" i="3"/>
  <c r="T31" i="3"/>
  <c r="W31" i="3" s="1"/>
  <c r="AD65" i="3" l="1"/>
  <c r="X65" i="3"/>
  <c r="I65" i="3"/>
  <c r="H65" i="3"/>
  <c r="G65" i="3"/>
  <c r="AD63" i="3"/>
  <c r="X63" i="3"/>
  <c r="I63" i="3"/>
  <c r="H63" i="3"/>
  <c r="G63" i="3"/>
  <c r="AD46" i="3"/>
  <c r="X46" i="3"/>
  <c r="I46" i="3"/>
  <c r="H46" i="3"/>
  <c r="G46" i="3"/>
  <c r="F46" i="3"/>
  <c r="AD75" i="3"/>
  <c r="X75" i="3"/>
  <c r="I75" i="3"/>
  <c r="H75" i="3"/>
  <c r="G75" i="3"/>
  <c r="F75" i="3"/>
  <c r="AD74" i="3"/>
  <c r="X74" i="3"/>
  <c r="I74" i="3"/>
  <c r="H74" i="3"/>
  <c r="G74" i="3"/>
  <c r="AD76" i="3"/>
  <c r="X76" i="3"/>
  <c r="I76" i="3"/>
  <c r="H76" i="3"/>
  <c r="G76" i="3"/>
  <c r="T76" i="3" l="1"/>
  <c r="T74" i="3"/>
  <c r="T63" i="3"/>
  <c r="T75" i="3"/>
  <c r="T65" i="3"/>
  <c r="T46" i="3"/>
  <c r="X50" i="3"/>
  <c r="X79" i="3"/>
  <c r="X23" i="3"/>
  <c r="X25" i="3"/>
  <c r="X26" i="3"/>
  <c r="X36" i="3"/>
  <c r="X39" i="3"/>
  <c r="X40" i="3"/>
  <c r="X44" i="3"/>
  <c r="AD50" i="3"/>
  <c r="AD49" i="3"/>
  <c r="G29" i="3" l="1"/>
  <c r="H29" i="3"/>
  <c r="I29" i="3"/>
  <c r="X29" i="3"/>
  <c r="X49" i="3"/>
  <c r="X67" i="3"/>
  <c r="I67" i="3"/>
  <c r="H67" i="3"/>
  <c r="G67" i="3"/>
  <c r="AD67" i="3"/>
  <c r="AD29" i="3"/>
  <c r="T67" i="3" l="1"/>
  <c r="T29" i="3"/>
  <c r="W50" i="3"/>
  <c r="W49" i="3"/>
  <c r="AD23" i="3" l="1"/>
  <c r="I30" i="3" l="1"/>
  <c r="I44" i="3"/>
  <c r="H30" i="3"/>
  <c r="H44" i="3"/>
  <c r="G30" i="3"/>
  <c r="G44" i="3"/>
  <c r="I68" i="3"/>
  <c r="I61" i="3"/>
  <c r="H77" i="3"/>
  <c r="H68" i="3"/>
  <c r="H61" i="3"/>
  <c r="G77" i="3"/>
  <c r="G68" i="3"/>
  <c r="G61" i="3"/>
  <c r="I60" i="3"/>
  <c r="I54" i="3"/>
  <c r="I53" i="3"/>
  <c r="I41" i="3"/>
  <c r="I40" i="3"/>
  <c r="I39" i="3"/>
  <c r="I36" i="3"/>
  <c r="I26" i="3"/>
  <c r="I25" i="3"/>
  <c r="I21" i="3"/>
  <c r="I19" i="3"/>
  <c r="H60" i="3"/>
  <c r="H54" i="3"/>
  <c r="H53" i="3"/>
  <c r="H41" i="3"/>
  <c r="H40" i="3"/>
  <c r="H39" i="3"/>
  <c r="H36" i="3"/>
  <c r="H26" i="3"/>
  <c r="H25" i="3"/>
  <c r="H21" i="3"/>
  <c r="H19" i="3"/>
  <c r="G60" i="3"/>
  <c r="G54" i="3"/>
  <c r="G53" i="3"/>
  <c r="G41" i="3"/>
  <c r="G40" i="3"/>
  <c r="G39" i="3"/>
  <c r="G36" i="3"/>
  <c r="G26" i="3"/>
  <c r="G25" i="3"/>
  <c r="G21" i="3"/>
  <c r="G19" i="3"/>
  <c r="X77" i="3"/>
  <c r="X68" i="3"/>
  <c r="X61" i="3"/>
  <c r="X60" i="3"/>
  <c r="X54" i="3"/>
  <c r="X53" i="3"/>
  <c r="X51" i="3"/>
  <c r="X48" i="3"/>
  <c r="X41" i="3"/>
  <c r="X21" i="3"/>
  <c r="X19" i="3"/>
  <c r="X17" i="3"/>
  <c r="X16" i="3"/>
  <c r="T77" i="3" l="1"/>
  <c r="T41" i="3"/>
  <c r="T53" i="3"/>
  <c r="T30" i="3"/>
  <c r="AD30" i="3"/>
  <c r="T44" i="3"/>
  <c r="T68" i="3"/>
  <c r="T61" i="3"/>
  <c r="T60" i="3"/>
  <c r="T54" i="3"/>
  <c r="F40" i="3"/>
  <c r="T40" i="3" s="1"/>
  <c r="F39" i="3"/>
  <c r="T39" i="3" s="1"/>
  <c r="T36" i="3"/>
  <c r="T26" i="3"/>
  <c r="F25" i="3"/>
  <c r="T25" i="3" s="1"/>
  <c r="F21" i="3"/>
  <c r="T21" i="3" s="1"/>
  <c r="T19" i="3"/>
  <c r="AD44" i="3" l="1"/>
  <c r="W30" i="3" l="1"/>
  <c r="F79" i="3" l="1"/>
  <c r="AD68" i="3" l="1"/>
  <c r="AD77" i="3"/>
  <c r="AD79" i="3"/>
  <c r="AD61" i="3"/>
  <c r="AD16" i="3"/>
  <c r="AD17" i="3"/>
  <c r="AD19" i="3"/>
  <c r="AD21" i="3"/>
  <c r="AD25" i="3"/>
  <c r="AD26" i="3"/>
  <c r="AD36" i="3"/>
  <c r="AD39" i="3"/>
  <c r="AD40" i="3"/>
  <c r="AD41" i="3"/>
  <c r="AD48" i="3"/>
  <c r="AD51" i="3"/>
  <c r="AD53" i="3"/>
  <c r="AD54" i="3"/>
  <c r="AD14" i="3"/>
  <c r="I14" i="3"/>
  <c r="H14" i="3" l="1"/>
  <c r="G14" i="3"/>
  <c r="T14" i="3" l="1"/>
  <c r="W63" i="3"/>
  <c r="W67" i="3"/>
  <c r="W74" i="3"/>
  <c r="W75" i="3"/>
  <c r="W65" i="3"/>
  <c r="W46" i="3"/>
  <c r="W23" i="3"/>
  <c r="W76" i="3"/>
  <c r="W29" i="3" l="1"/>
  <c r="W44" i="3"/>
  <c r="L2" i="8" l="1"/>
  <c r="H35" i="8" l="1"/>
  <c r="I35" i="8"/>
  <c r="K35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F17" i="8"/>
  <c r="L17" i="8" s="1"/>
  <c r="F16" i="8"/>
  <c r="F15" i="8"/>
  <c r="L15" i="8" s="1"/>
  <c r="F14" i="8"/>
  <c r="F13" i="8"/>
  <c r="F12" i="8"/>
  <c r="F11" i="8"/>
  <c r="L11" i="8" s="1"/>
  <c r="Q5" i="8"/>
  <c r="L16" i="8" l="1"/>
  <c r="O16" i="8" s="1"/>
  <c r="L14" i="8"/>
  <c r="O14" i="8" s="1"/>
  <c r="O15" i="8"/>
  <c r="O17" i="8"/>
  <c r="O11" i="8"/>
  <c r="J12" i="8" l="1"/>
  <c r="L12" i="8" s="1"/>
  <c r="J13" i="8"/>
  <c r="L13" i="8" s="1"/>
  <c r="H40" i="8" l="1"/>
  <c r="J35" i="8"/>
  <c r="H39" i="8"/>
  <c r="O13" i="8"/>
  <c r="W25" i="3" l="1"/>
  <c r="L35" i="8"/>
  <c r="O12" i="8"/>
  <c r="H42" i="8" l="1"/>
  <c r="H43" i="8"/>
  <c r="W26" i="3" l="1"/>
  <c r="W48" i="3"/>
  <c r="W16" i="3"/>
  <c r="W14" i="3" l="1"/>
  <c r="W40" i="3"/>
  <c r="W60" i="3"/>
  <c r="W21" i="3"/>
  <c r="W19" i="3"/>
  <c r="W36" i="3"/>
  <c r="W17" i="3"/>
  <c r="W54" i="3"/>
  <c r="W68" i="3" l="1"/>
  <c r="W51" i="3"/>
  <c r="W41" i="3"/>
  <c r="W39" i="3"/>
  <c r="W77" i="3" l="1"/>
  <c r="W61" i="3"/>
  <c r="H79" i="3" l="1"/>
  <c r="I79" i="3"/>
  <c r="G79" i="3"/>
  <c r="T79" i="3" l="1"/>
  <c r="W79" i="3" l="1"/>
  <c r="W53" i="3"/>
  <c r="P98" i="3" l="1"/>
  <c r="S98" i="3"/>
  <c r="Q99" i="3"/>
  <c r="Q98" i="3"/>
  <c r="R99" i="3"/>
  <c r="P99" i="3"/>
  <c r="S99" i="3"/>
  <c r="R98" i="3"/>
  <c r="R100" i="3" l="1"/>
  <c r="S100" i="3"/>
  <c r="P100" i="3"/>
  <c r="Q100" i="3"/>
  <c r="T81" i="3"/>
  <c r="T98" i="3" s="1"/>
  <c r="W9" i="3"/>
  <c r="T100" i="3" l="1"/>
  <c r="P103" i="3"/>
  <c r="P10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Jackie Steenberg</author>
  </authors>
  <commentList>
    <comment ref="AA10" authorId="0" shapeId="0" xr:uid="{B50CB200-F7EB-44CF-8063-74C455E91622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06JUL: Not on Reg</t>
        </r>
      </text>
    </comment>
    <comment ref="Y34" authorId="0" shapeId="0" xr:uid="{5D8FDEF3-CC4E-41A0-833F-C13FF7A49B89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25JUN: Absent due to transport issues</t>
        </r>
      </text>
    </comment>
    <comment ref="Z40" authorId="0" shapeId="0" xr:uid="{0C80161B-6F7E-42B8-BE87-B6920B9AD216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30JUL: Absent due to protest </t>
        </r>
      </text>
    </comment>
    <comment ref="Z47" authorId="0" shapeId="0" xr:uid="{34862564-0678-4955-82C8-9C3D180CDB27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30JUL: Not on register</t>
        </r>
      </text>
    </comment>
    <comment ref="Y49" authorId="0" shapeId="0" xr:uid="{277E5065-40D6-4821-8A7F-701641985F90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25JUN: Absent due to transport issues</t>
        </r>
      </text>
    </comment>
    <comment ref="AA49" authorId="0" shapeId="0" xr:uid="{D913CFF1-B1CE-4314-9A65-2CEBC1EE4B6C}">
      <text>
        <r>
          <rPr>
            <b/>
            <sz val="11"/>
            <color indexed="81"/>
            <rFont val="Tahoma"/>
            <family val="2"/>
          </rPr>
          <t>Jackie Steenberg:</t>
        </r>
        <r>
          <rPr>
            <sz val="11"/>
            <color indexed="81"/>
            <rFont val="Tahoma"/>
            <family val="2"/>
          </rPr>
          <t xml:space="preserve">
06JUL: Not on Reg</t>
        </r>
      </text>
    </comment>
    <comment ref="Z50" authorId="0" shapeId="0" xr:uid="{3AC313FE-3D81-4A8A-9FF6-591809D43E1C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03JUL: Absent due to ID collection</t>
        </r>
      </text>
    </comment>
    <comment ref="Z70" authorId="0" shapeId="0" xr:uid="{59D552A2-B1CC-444D-BB0E-81C8748E653D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30JUL: Not on register</t>
        </r>
      </text>
    </comment>
    <comment ref="Z71" authorId="0" shapeId="0" xr:uid="{0AB8AF7E-716F-4EA5-BE75-758886A65F3B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29JUL: Not on Reg
30JUL: Not on Reg
01JUL: Not on Reg</t>
        </r>
      </text>
    </comment>
    <comment ref="Z75" authorId="0" shapeId="0" xr:uid="{4D6FB49D-1CCA-46BF-A833-69DCE1DA2AEB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29JUL: Not on Reg
</t>
        </r>
      </text>
    </comment>
  </commentList>
</comments>
</file>

<file path=xl/sharedStrings.xml><?xml version="1.0" encoding="utf-8"?>
<sst xmlns="http://schemas.openxmlformats.org/spreadsheetml/2006/main" count="456" uniqueCount="172">
  <si>
    <t>ORANGE CIRCLE CONSTRUCTION cc</t>
  </si>
  <si>
    <t xml:space="preserve">STAFF WAGES (OCC)                                                              </t>
  </si>
  <si>
    <t xml:space="preserve">Date:  </t>
  </si>
  <si>
    <t>Sup Fee</t>
  </si>
  <si>
    <t>Gas</t>
  </si>
  <si>
    <t>Washing</t>
  </si>
  <si>
    <t>#</t>
  </si>
  <si>
    <t xml:space="preserve"> OCC PERMANENT PG.1</t>
  </si>
  <si>
    <t>OCCUPATION</t>
  </si>
  <si>
    <t>RATE P/HR</t>
  </si>
  <si>
    <t>HRS</t>
  </si>
  <si>
    <t>STD O/T RATE</t>
  </si>
  <si>
    <t>SAT O/T RATE</t>
  </si>
  <si>
    <t>SUN-P*HOL RATE</t>
  </si>
  <si>
    <t>STD O/T</t>
  </si>
  <si>
    <t>SAT O/T</t>
  </si>
  <si>
    <t>SUN-P*HOL O/T</t>
  </si>
  <si>
    <t>LOANS</t>
  </si>
  <si>
    <t>WASHING</t>
  </si>
  <si>
    <t>GAS</t>
  </si>
  <si>
    <t>TOTAL NETT</t>
  </si>
  <si>
    <t>TOTAL</t>
  </si>
  <si>
    <t>BANK</t>
  </si>
  <si>
    <t>COMMENTS</t>
  </si>
  <si>
    <t>TOTAL REM</t>
  </si>
  <si>
    <t>RATE P/DAY</t>
  </si>
  <si>
    <t>TOTAL DAYS</t>
  </si>
  <si>
    <t>HRS P/DAY</t>
  </si>
  <si>
    <t>NAME</t>
  </si>
  <si>
    <t>GENERAL WORKER</t>
  </si>
  <si>
    <t>STD</t>
  </si>
  <si>
    <t>BLONDY MALEPE</t>
  </si>
  <si>
    <t>PAINTER</t>
  </si>
  <si>
    <t>NEDBANK</t>
  </si>
  <si>
    <t>SUPERVISOR FEE</t>
  </si>
  <si>
    <t>COSTER MALEPE</t>
  </si>
  <si>
    <t>CAPITEC</t>
  </si>
  <si>
    <t>DANGER MAWELELA</t>
  </si>
  <si>
    <t>DONALD JIYA</t>
  </si>
  <si>
    <t>BRICKLAYER/BUILDER</t>
  </si>
  <si>
    <t>FNB</t>
  </si>
  <si>
    <t>DUBE KUDAKWASHE</t>
  </si>
  <si>
    <t>DUMISANI ERNEST MASANGO</t>
  </si>
  <si>
    <t>ELVIS NSIMBINI</t>
  </si>
  <si>
    <t>BUILDER</t>
  </si>
  <si>
    <t>ABSA</t>
  </si>
  <si>
    <t xml:space="preserve">GIBBS MASETE </t>
  </si>
  <si>
    <t>HERMAN NGIDI</t>
  </si>
  <si>
    <t>JACK WALTER MOICHELO</t>
  </si>
  <si>
    <t>JANUARY SITOE</t>
  </si>
  <si>
    <t>G/WORKER</t>
  </si>
  <si>
    <t>JOHANNES SEGAFA</t>
  </si>
  <si>
    <t>KENNETH LUBISI</t>
  </si>
  <si>
    <t>LUCKY MAKUBULE</t>
  </si>
  <si>
    <t>MAECA MAHLANGU</t>
  </si>
  <si>
    <t>PLASTERER/FLOATER</t>
  </si>
  <si>
    <t xml:space="preserve">MANDLA NDLOVU </t>
  </si>
  <si>
    <t>MBONGENI SOKUDELA</t>
  </si>
  <si>
    <t>TYME BANK</t>
  </si>
  <si>
    <t>MPHO SITHUGA</t>
  </si>
  <si>
    <t>NDIKHO SOKUDELA</t>
  </si>
  <si>
    <t xml:space="preserve">NKOSINATHI KHUMALO  </t>
  </si>
  <si>
    <t>OUPA MPHOTU</t>
  </si>
  <si>
    <t>PATRICK MASILELA</t>
  </si>
  <si>
    <t>SHOPFITTER</t>
  </si>
  <si>
    <t>PEACE MAKHOKHA</t>
  </si>
  <si>
    <t>PETROS SHITLANGU</t>
  </si>
  <si>
    <t>PHILISANI NDLOVU</t>
  </si>
  <si>
    <t>PLASTERER</t>
  </si>
  <si>
    <t>ROVER BULUNGA</t>
  </si>
  <si>
    <t>SFISO MAHLANGU</t>
  </si>
  <si>
    <t>SHERRIFF MASELANI</t>
  </si>
  <si>
    <t>SIMBONGILE MPEPHO</t>
  </si>
  <si>
    <t>SIPHIWE MASHITENG</t>
  </si>
  <si>
    <t>SIX MATEPSA</t>
  </si>
  <si>
    <t xml:space="preserve"> OCC PERMANENT PG.2</t>
  </si>
  <si>
    <t>THUSO MULELU</t>
  </si>
  <si>
    <t>TSULUFELO NCUBE</t>
  </si>
  <si>
    <t>XOLANI MTSHWENI</t>
  </si>
  <si>
    <t>ZAZI NDLOVU</t>
  </si>
  <si>
    <t>ZONGEZILE NYEMBEZI</t>
  </si>
  <si>
    <t>MERCY NDLOVU</t>
  </si>
  <si>
    <t>CLEANER</t>
  </si>
  <si>
    <t>STD BANK</t>
  </si>
  <si>
    <t>BLESSING'S ACCOUNT</t>
  </si>
  <si>
    <t>OCC CASUAL / TEMP / PROBATION</t>
  </si>
  <si>
    <t>AARON MOSELANE</t>
  </si>
  <si>
    <t>BRYNE CHINOKWETU</t>
  </si>
  <si>
    <t>DUBE HAPPINESS</t>
  </si>
  <si>
    <t>LIVINSTONE MALONGANE</t>
  </si>
  <si>
    <t>MPHO MAKGOPO</t>
  </si>
  <si>
    <t>MSIZI MKHALIPHI</t>
  </si>
  <si>
    <t xml:space="preserve">DESCRIPTION </t>
  </si>
  <si>
    <t>Permanent Staff</t>
  </si>
  <si>
    <t>Casual Staff</t>
  </si>
  <si>
    <t>Total</t>
  </si>
  <si>
    <t>LIVING OUT</t>
  </si>
  <si>
    <t>NOTES:</t>
  </si>
  <si>
    <t>Total of Wage Run</t>
  </si>
  <si>
    <t>29.08.2024</t>
  </si>
  <si>
    <t>Other</t>
  </si>
  <si>
    <t xml:space="preserve">WEEK 1: </t>
  </si>
  <si>
    <t>SAT</t>
  </si>
  <si>
    <t>SUN</t>
  </si>
  <si>
    <t>MON</t>
  </si>
  <si>
    <t>TUES</t>
  </si>
  <si>
    <t>WED</t>
  </si>
  <si>
    <t>THUR</t>
  </si>
  <si>
    <t>FRI</t>
  </si>
  <si>
    <t>WEEK 2:</t>
  </si>
  <si>
    <t>Any overtime accumulated after the Wednesday of the second week will be paid with the following Fortnight Wage Run.</t>
  </si>
  <si>
    <t>KROONVAAL WAGES</t>
  </si>
  <si>
    <t xml:space="preserve"> OCC PERMANENT</t>
  </si>
  <si>
    <t>RATE</t>
  </si>
  <si>
    <t>DAYS</t>
  </si>
  <si>
    <t>O/T RATE</t>
  </si>
  <si>
    <t>O/T HRS</t>
  </si>
  <si>
    <t>LEAVE PAY</t>
  </si>
  <si>
    <t>BUPHILO OUPA MPHOTU</t>
  </si>
  <si>
    <t>DIMAKATSO JOSEPH MASETE</t>
  </si>
  <si>
    <t>GIFT NGWENYA</t>
  </si>
  <si>
    <t>CASH</t>
  </si>
  <si>
    <t>HERMAN BONGINDIWE NGIDI</t>
  </si>
  <si>
    <t>MVELO MAMBO</t>
  </si>
  <si>
    <t>TAFADZWA PATRICK MOYO</t>
  </si>
  <si>
    <t>Kroonvaal Wages</t>
  </si>
  <si>
    <t>E-wallet</t>
  </si>
  <si>
    <t>Cheques</t>
  </si>
  <si>
    <t>Eft</t>
  </si>
  <si>
    <t>Cash</t>
  </si>
  <si>
    <t>Total C/Component</t>
  </si>
  <si>
    <t>LUCKY PYUNGU</t>
  </si>
  <si>
    <t>SANYANE JOHN BHUDA</t>
  </si>
  <si>
    <t>HERIS MTHOMBENI</t>
  </si>
  <si>
    <t>JOHANNES MTHOMBENI</t>
  </si>
  <si>
    <t>ANDREW ELIAS MASELELA</t>
  </si>
  <si>
    <t>MORRIES MALEPE</t>
  </si>
  <si>
    <t>Casual / Temp Staff</t>
  </si>
  <si>
    <t>Loans</t>
  </si>
  <si>
    <t>NTOBEKO GHABILE</t>
  </si>
  <si>
    <t xml:space="preserve">NEW BANK DETAILS : </t>
  </si>
  <si>
    <t>ALLEN MSIMANGA</t>
  </si>
  <si>
    <t>SUN O/T</t>
  </si>
  <si>
    <t>NELSON SEKGOPO</t>
  </si>
  <si>
    <t>TAKALANI TSHINONI</t>
  </si>
  <si>
    <t>STUART KHOZA</t>
  </si>
  <si>
    <t>SIPHO SIMILO MAZIBUKO</t>
  </si>
  <si>
    <t>BAS</t>
  </si>
  <si>
    <t>OTHER</t>
  </si>
  <si>
    <t>ORANGE CIRCLE CONSTRUCTION (PTY) Ltd</t>
  </si>
  <si>
    <t>BENEDICTOR PHOSWA</t>
  </si>
  <si>
    <t>DEC O/T RATE</t>
  </si>
  <si>
    <t>DEC HRS</t>
  </si>
  <si>
    <t>DEC TOTAL</t>
  </si>
  <si>
    <t>AMNT</t>
  </si>
  <si>
    <t>AUBREY MATHEBULA</t>
  </si>
  <si>
    <t>KHASHANE FRANS MABETWA</t>
  </si>
  <si>
    <t>THOKOZANI SIBANYONI</t>
  </si>
  <si>
    <t>DEC  RATE</t>
  </si>
  <si>
    <t xml:space="preserve">ACCESS </t>
  </si>
  <si>
    <t>PPE</t>
  </si>
  <si>
    <t>WEEK 1</t>
  </si>
  <si>
    <t>WEEK 2</t>
  </si>
  <si>
    <t>WEEK 3</t>
  </si>
  <si>
    <t>Workshop</t>
  </si>
  <si>
    <t>Kroonvaal</t>
  </si>
  <si>
    <t>Mosselbaai</t>
  </si>
  <si>
    <t>7hrs</t>
  </si>
  <si>
    <t>DAVID RAPHETYE</t>
  </si>
  <si>
    <t>SIPHO KHUMALO</t>
  </si>
  <si>
    <t>TIMOTHY MASETE</t>
  </si>
  <si>
    <t>04/07/2026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</si>
</sst>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164" formatCode="_(* #,##0.00_);_(* \(#,##0.00\);_(* &quot;-&quot;??_);_(@_)"/>
    <numFmt numFmtId="165" formatCode="&quot;R&quot;\ #,##0.00;&quot;R&quot;\ \-#,##0.00"/>
    <numFmt numFmtId="166" formatCode="&quot;R&quot;\ #,##0.00"/>
    <numFmt numFmtId="167" formatCode="[$R-1C09]#,##0.00"/>
    <numFmt numFmtId="168" formatCode="_-[$R-1C09]* #,##0.00_-;\-[$R-1C09]* #,##0.00_-;_-[$R-1C09]* &quot;-&quot;??_-;_-@_-"/>
    <numFmt numFmtId="169" formatCode="[$R-430]#,##0.00"/>
    <numFmt numFmtId="170" formatCode="&quot;R&quot;#,##0.00"/>
    <numFmt numFmtId="171" formatCode="0.0"/>
  </numFmts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288">
    <xf numFmtId="0" fontId="0" fillId="0" borderId="0" xfId="0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168" fontId="11" fillId="0" borderId="2" xfId="0" applyNumberFormat="1" applyFont="1" applyBorder="1"/>
    <xf numFmtId="4" fontId="5" fillId="0" borderId="0" xfId="0" applyNumberFormat="1" applyFont="1" applyAlignment="1">
      <alignment horizontal="left"/>
    </xf>
    <xf numFmtId="167" fontId="5" fillId="0" borderId="0" xfId="57" applyNumberFormat="1" applyFont="1" applyFill="1" applyBorder="1"/>
    <xf numFmtId="164" fontId="5" fillId="0" borderId="0" xfId="57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6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1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left"/>
    </xf>
    <xf numFmtId="2" fontId="5" fillId="0" borderId="0" xfId="57" applyNumberFormat="1" applyFont="1" applyFill="1" applyBorder="1"/>
    <xf numFmtId="2" fontId="6" fillId="0" borderId="0" xfId="57" applyNumberFormat="1" applyFont="1" applyFill="1" applyBorder="1"/>
    <xf numFmtId="2" fontId="7" fillId="0" borderId="0" xfId="57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164" fontId="0" fillId="0" borderId="2" xfId="57" applyFont="1" applyBorder="1"/>
    <xf numFmtId="166" fontId="1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6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164" fontId="5" fillId="0" borderId="2" xfId="57" applyFont="1" applyBorder="1" applyAlignment="1">
      <alignment horizontal="left"/>
    </xf>
    <xf numFmtId="2" fontId="5" fillId="0" borderId="0" xfId="57" applyNumberFormat="1" applyFont="1" applyFill="1" applyBorder="1" applyAlignment="1">
      <alignment horizontal="center"/>
    </xf>
    <xf numFmtId="2" fontId="6" fillId="0" borderId="0" xfId="57" applyNumberFormat="1" applyFont="1" applyFill="1" applyBorder="1" applyAlignment="1">
      <alignment horizontal="center"/>
    </xf>
    <xf numFmtId="2" fontId="5" fillId="0" borderId="2" xfId="57" applyNumberFormat="1" applyFont="1" applyFill="1" applyBorder="1" applyAlignment="1">
      <alignment horizontal="center"/>
    </xf>
    <xf numFmtId="164" fontId="6" fillId="0" borderId="0" xfId="57" applyFont="1" applyFill="1" applyBorder="1"/>
    <xf numFmtId="0" fontId="5" fillId="0" borderId="0" xfId="57" applyNumberFormat="1" applyFont="1" applyFill="1" applyBorder="1" applyAlignment="1">
      <alignment horizontal="center"/>
    </xf>
    <xf numFmtId="0" fontId="5" fillId="0" borderId="2" xfId="57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2" fontId="5" fillId="0" borderId="2" xfId="57" applyNumberFormat="1" applyFont="1" applyFill="1" applyBorder="1" applyAlignment="1">
      <alignment horizontal="left"/>
    </xf>
    <xf numFmtId="0" fontId="8" fillId="0" borderId="2" xfId="0" applyFont="1" applyBorder="1"/>
    <xf numFmtId="0" fontId="7" fillId="0" borderId="7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164" fontId="5" fillId="0" borderId="14" xfId="57" applyFont="1" applyBorder="1" applyAlignment="1">
      <alignment horizontal="left"/>
    </xf>
    <xf numFmtId="164" fontId="7" fillId="0" borderId="0" xfId="57" applyFont="1" applyFill="1" applyBorder="1"/>
    <xf numFmtId="2" fontId="6" fillId="0" borderId="0" xfId="57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4" xfId="57" applyFont="1" applyFill="1" applyBorder="1"/>
    <xf numFmtId="164" fontId="5" fillId="0" borderId="14" xfId="0" applyNumberFormat="1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2" fontId="5" fillId="0" borderId="0" xfId="57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5" fillId="0" borderId="0" xfId="57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58" applyFont="1" applyAlignment="1"/>
    <xf numFmtId="2" fontId="5" fillId="0" borderId="0" xfId="58" applyNumberFormat="1" applyFont="1" applyFill="1" applyBorder="1" applyAlignment="1">
      <alignment horizontal="center"/>
    </xf>
    <xf numFmtId="0" fontId="5" fillId="0" borderId="0" xfId="58" applyNumberFormat="1" applyFont="1" applyFill="1" applyBorder="1" applyAlignment="1">
      <alignment horizontal="center"/>
    </xf>
    <xf numFmtId="164" fontId="14" fillId="0" borderId="0" xfId="58" applyFont="1" applyAlignment="1">
      <alignment vertical="center"/>
    </xf>
    <xf numFmtId="164" fontId="5" fillId="0" borderId="14" xfId="58" applyFont="1" applyBorder="1" applyAlignment="1">
      <alignment horizontal="left"/>
    </xf>
    <xf numFmtId="164" fontId="7" fillId="0" borderId="0" xfId="58" applyFont="1" applyFill="1" applyBorder="1"/>
    <xf numFmtId="2" fontId="6" fillId="0" borderId="0" xfId="58" applyNumberFormat="1" applyFont="1" applyFill="1" applyBorder="1" applyAlignment="1">
      <alignment horizontal="center"/>
    </xf>
    <xf numFmtId="164" fontId="6" fillId="0" borderId="0" xfId="58" applyFont="1" applyFill="1" applyBorder="1"/>
    <xf numFmtId="164" fontId="5" fillId="0" borderId="14" xfId="58" applyFont="1" applyFill="1" applyBorder="1"/>
    <xf numFmtId="2" fontId="6" fillId="0" borderId="0" xfId="58" applyNumberFormat="1" applyFont="1" applyFill="1" applyBorder="1" applyAlignment="1">
      <alignment horizontal="left"/>
    </xf>
    <xf numFmtId="6" fontId="8" fillId="0" borderId="0" xfId="0" applyNumberFormat="1" applyFont="1" applyAlignment="1">
      <alignment horizontal="left" vertical="center"/>
    </xf>
    <xf numFmtId="164" fontId="5" fillId="0" borderId="0" xfId="58" applyFont="1" applyFill="1" applyBorder="1" applyAlignment="1">
      <alignment vertical="center"/>
    </xf>
    <xf numFmtId="2" fontId="5" fillId="0" borderId="0" xfId="58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58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center"/>
    </xf>
    <xf numFmtId="164" fontId="5" fillId="0" borderId="3" xfId="57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2" xfId="57" applyNumberFormat="1" applyFont="1" applyFill="1" applyBorder="1" applyAlignment="1">
      <alignment horizontal="left"/>
    </xf>
    <xf numFmtId="164" fontId="5" fillId="0" borderId="0" xfId="57" applyFont="1" applyFill="1" applyAlignment="1"/>
    <xf numFmtId="164" fontId="14" fillId="0" borderId="0" xfId="57" applyFont="1" applyFill="1" applyAlignment="1">
      <alignment vertical="center"/>
    </xf>
    <xf numFmtId="6" fontId="5" fillId="0" borderId="2" xfId="0" applyNumberFormat="1" applyFont="1" applyBorder="1" applyAlignment="1">
      <alignment horizontal="left"/>
    </xf>
    <xf numFmtId="0" fontId="5" fillId="0" borderId="2" xfId="57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5" fillId="0" borderId="0" xfId="57" applyFont="1" applyFill="1" applyBorder="1" applyAlignment="1">
      <alignment horizontal="left" vertical="center"/>
    </xf>
    <xf numFmtId="0" fontId="5" fillId="0" borderId="0" xfId="57" applyNumberFormat="1" applyFont="1" applyFill="1" applyBorder="1" applyAlignment="1">
      <alignment horizontal="left" vertical="center"/>
    </xf>
    <xf numFmtId="0" fontId="5" fillId="0" borderId="0" xfId="57" applyNumberFormat="1" applyFont="1" applyFill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2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166" fontId="5" fillId="2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left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5" fillId="0" borderId="2" xfId="0" applyFont="1" applyBorder="1"/>
    <xf numFmtId="0" fontId="5" fillId="3" borderId="3" xfId="0" applyFont="1" applyFill="1" applyBorder="1" applyAlignment="1">
      <alignment horizontal="left"/>
    </xf>
    <xf numFmtId="2" fontId="5" fillId="3" borderId="2" xfId="0" applyNumberFormat="1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7" fillId="3" borderId="3" xfId="0" applyNumberFormat="1" applyFont="1" applyFill="1" applyBorder="1" applyAlignment="1">
      <alignment horizontal="center"/>
    </xf>
    <xf numFmtId="164" fontId="5" fillId="0" borderId="2" xfId="57" applyFont="1" applyBorder="1" applyAlignment="1"/>
    <xf numFmtId="164" fontId="5" fillId="0" borderId="0" xfId="57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2" xfId="5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2" xfId="57" applyNumberFormat="1" applyFont="1" applyFill="1" applyBorder="1" applyAlignment="1">
      <alignment horizontal="left"/>
    </xf>
    <xf numFmtId="1" fontId="5" fillId="4" borderId="2" xfId="57" applyNumberFormat="1" applyFont="1" applyFill="1" applyBorder="1" applyAlignment="1">
      <alignment horizontal="center"/>
    </xf>
    <xf numFmtId="15" fontId="5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15" fillId="0" borderId="0" xfId="0" applyFont="1"/>
    <xf numFmtId="0" fontId="5" fillId="3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169" fontId="5" fillId="0" borderId="2" xfId="0" applyNumberFormat="1" applyFont="1" applyBorder="1" applyAlignment="1">
      <alignment horizontal="right"/>
    </xf>
    <xf numFmtId="171" fontId="5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166" fontId="7" fillId="0" borderId="2" xfId="0" applyNumberFormat="1" applyFont="1" applyBorder="1" applyAlignment="1">
      <alignment vertical="center"/>
    </xf>
    <xf numFmtId="2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vertical="center"/>
    </xf>
    <xf numFmtId="6" fontId="8" fillId="0" borderId="2" xfId="0" applyNumberFormat="1" applyFont="1" applyBorder="1" applyAlignment="1">
      <alignment vertical="center"/>
    </xf>
    <xf numFmtId="2" fontId="5" fillId="0" borderId="2" xfId="58" applyNumberFormat="1" applyFont="1" applyFill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58" applyNumberFormat="1" applyFont="1" applyFill="1" applyBorder="1" applyAlignment="1">
      <alignment horizontal="center" vertical="center"/>
    </xf>
    <xf numFmtId="15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20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7" fillId="0" borderId="3" xfId="57" applyNumberFormat="1" applyFont="1" applyFill="1" applyBorder="1" applyAlignment="1">
      <alignment horizontal="center" vertical="center" wrapText="1"/>
    </xf>
    <xf numFmtId="2" fontId="7" fillId="0" borderId="11" xfId="57" applyNumberFormat="1" applyFont="1" applyFill="1" applyBorder="1" applyAlignment="1">
      <alignment horizontal="center" vertical="center" wrapText="1"/>
    </xf>
    <xf numFmtId="2" fontId="7" fillId="0" borderId="7" xfId="57" applyNumberFormat="1" applyFont="1" applyFill="1" applyBorder="1" applyAlignment="1">
      <alignment horizontal="center" vertical="center" wrapText="1"/>
    </xf>
    <xf numFmtId="171" fontId="5" fillId="0" borderId="3" xfId="0" applyNumberFormat="1" applyFont="1" applyBorder="1" applyAlignment="1">
      <alignment horizontal="center" vertical="center"/>
    </xf>
    <xf numFmtId="171" fontId="5" fillId="0" borderId="7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2" fontId="5" fillId="0" borderId="3" xfId="57" applyNumberFormat="1" applyFont="1" applyFill="1" applyBorder="1" applyAlignment="1">
      <alignment horizontal="center" vertical="center"/>
    </xf>
    <xf numFmtId="2" fontId="5" fillId="0" borderId="7" xfId="57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2" fontId="5" fillId="0" borderId="3" xfId="57" applyNumberFormat="1" applyFont="1" applyFill="1" applyBorder="1" applyAlignment="1">
      <alignment horizontal="left" vertical="center"/>
    </xf>
    <xf numFmtId="2" fontId="5" fillId="0" borderId="7" xfId="57" applyNumberFormat="1" applyFont="1" applyFill="1" applyBorder="1" applyAlignment="1">
      <alignment horizontal="left" vertical="center"/>
    </xf>
    <xf numFmtId="0" fontId="5" fillId="0" borderId="3" xfId="57" applyNumberFormat="1" applyFont="1" applyFill="1" applyBorder="1" applyAlignment="1">
      <alignment horizontal="center" vertical="center"/>
    </xf>
    <xf numFmtId="0" fontId="5" fillId="0" borderId="7" xfId="57" applyNumberFormat="1" applyFont="1" applyFill="1" applyBorder="1" applyAlignment="1">
      <alignment horizontal="center" vertical="center"/>
    </xf>
    <xf numFmtId="0" fontId="7" fillId="0" borderId="3" xfId="57" applyNumberFormat="1" applyFont="1" applyFill="1" applyBorder="1" applyAlignment="1">
      <alignment horizontal="center" vertical="center" wrapText="1"/>
    </xf>
    <xf numFmtId="0" fontId="7" fillId="0" borderId="11" xfId="57" applyNumberFormat="1" applyFont="1" applyFill="1" applyBorder="1" applyAlignment="1">
      <alignment horizontal="center" vertical="center" wrapText="1"/>
    </xf>
    <xf numFmtId="0" fontId="7" fillId="0" borderId="7" xfId="57" applyNumberFormat="1" applyFont="1" applyFill="1" applyBorder="1" applyAlignment="1">
      <alignment horizontal="center" vertical="center" wrapText="1"/>
    </xf>
    <xf numFmtId="164" fontId="7" fillId="0" borderId="2" xfId="57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5" fillId="0" borderId="3" xfId="57" applyNumberFormat="1" applyFont="1" applyFill="1" applyBorder="1" applyAlignment="1">
      <alignment horizontal="left" vertical="center"/>
    </xf>
    <xf numFmtId="0" fontId="5" fillId="0" borderId="7" xfId="57" applyNumberFormat="1" applyFont="1" applyFill="1" applyBorder="1" applyAlignment="1">
      <alignment horizontal="left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left" vertical="center"/>
    </xf>
    <xf numFmtId="6" fontId="8" fillId="0" borderId="7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7" fontId="5" fillId="0" borderId="2" xfId="0" applyNumberFormat="1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166" fontId="7" fillId="0" borderId="1" xfId="0" applyNumberFormat="1" applyFont="1" applyBorder="1" applyAlignment="1">
      <alignment horizontal="left"/>
    </xf>
    <xf numFmtId="166" fontId="7" fillId="0" borderId="12" xfId="0" applyNumberFormat="1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6" fontId="5" fillId="0" borderId="0" xfId="0" applyNumberFormat="1" applyFont="1" applyAlignment="1">
      <alignment horizontal="left"/>
    </xf>
    <xf numFmtId="2" fontId="5" fillId="0" borderId="15" xfId="58" applyNumberFormat="1" applyFont="1" applyFill="1" applyBorder="1" applyAlignment="1">
      <alignment horizontal="center" vertical="center" wrapText="1"/>
    </xf>
    <xf numFmtId="2" fontId="5" fillId="0" borderId="11" xfId="58" applyNumberFormat="1" applyFont="1" applyFill="1" applyBorder="1" applyAlignment="1">
      <alignment horizontal="center" vertical="center" wrapText="1"/>
    </xf>
    <xf numFmtId="2" fontId="5" fillId="0" borderId="7" xfId="58" applyNumberFormat="1" applyFont="1" applyFill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11" xfId="58" applyNumberFormat="1" applyFont="1" applyFill="1" applyBorder="1" applyAlignment="1">
      <alignment horizontal="center" vertical="center" wrapText="1"/>
    </xf>
    <xf numFmtId="0" fontId="5" fillId="0" borderId="7" xfId="58" applyNumberFormat="1" applyFont="1" applyFill="1" applyBorder="1" applyAlignment="1">
      <alignment horizontal="center" vertical="center" wrapText="1"/>
    </xf>
    <xf numFmtId="2" fontId="5" fillId="0" borderId="3" xfId="58" applyNumberFormat="1" applyFont="1" applyFill="1" applyBorder="1" applyAlignment="1">
      <alignment horizontal="center" vertical="center" wrapText="1"/>
    </xf>
    <xf numFmtId="164" fontId="7" fillId="0" borderId="3" xfId="58" applyFont="1" applyBorder="1" applyAlignment="1">
      <alignment vertical="center"/>
    </xf>
    <xf numFmtId="164" fontId="7" fillId="0" borderId="11" xfId="58" applyFont="1" applyBorder="1" applyAlignment="1">
      <alignment vertical="center"/>
    </xf>
    <xf numFmtId="164" fontId="7" fillId="0" borderId="7" xfId="58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5" fillId="0" borderId="4" xfId="58" applyNumberFormat="1" applyFont="1" applyFill="1" applyBorder="1" applyAlignment="1">
      <alignment horizontal="center" vertical="center"/>
    </xf>
    <xf numFmtId="2" fontId="5" fillId="0" borderId="5" xfId="58" applyNumberFormat="1" applyFont="1" applyFill="1" applyBorder="1" applyAlignment="1">
      <alignment horizontal="center" vertical="center"/>
    </xf>
    <xf numFmtId="2" fontId="5" fillId="0" borderId="6" xfId="58" applyNumberFormat="1" applyFont="1" applyFill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/>
    </xf>
  </cellXfs>
  <cellStyles count="59">
    <cellStyle name="Comma" xfId="57" builtinId="3"/>
    <cellStyle name="Comma 2" xfId="58" xr:uid="{A0C1B7FD-9932-4BD5-9F21-F0100E301977}"/>
    <cellStyle name="Followed Hyperlink" xfId="24" builtinId="9" hidden="1"/>
    <cellStyle name="Followed Hyperlink" xfId="26" builtinId="9" hidden="1"/>
    <cellStyle name="Followed Hyperlink" xfId="40" builtinId="9" hidden="1"/>
    <cellStyle name="Followed Hyperlink" xfId="22" builtinId="9" hidden="1"/>
    <cellStyle name="Followed Hyperlink" xfId="10" builtinId="9" hidden="1"/>
    <cellStyle name="Followed Hyperlink" xfId="20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36" builtinId="9" hidden="1"/>
    <cellStyle name="Followed Hyperlink" xfId="28" builtinId="9" hidden="1"/>
    <cellStyle name="Followed Hyperlink" xfId="54" builtinId="9" hidden="1"/>
    <cellStyle name="Followed Hyperlink" xfId="52" builtinId="9" hidden="1"/>
    <cellStyle name="Followed Hyperlink" xfId="8" builtinId="9" hidden="1"/>
    <cellStyle name="Followed Hyperlink" xfId="18" builtinId="9" hidden="1"/>
    <cellStyle name="Followed Hyperlink" xfId="50" builtinId="9" hidden="1"/>
    <cellStyle name="Followed Hyperlink" xfId="34" builtinId="9" hidden="1"/>
    <cellStyle name="Followed Hyperlink" xfId="46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Followed Hyperlink" xfId="32" builtinId="9" hidden="1"/>
    <cellStyle name="Followed Hyperlink" xfId="42" builtinId="9" hidden="1"/>
    <cellStyle name="Followed Hyperlink" xfId="14" builtinId="9" hidden="1"/>
    <cellStyle name="Followed Hyperlink" xfId="44" builtinId="9" hidden="1"/>
    <cellStyle name="Followed Hyperlink" xfId="4" builtinId="9" hidden="1"/>
    <cellStyle name="Followed Hyperlink" xfId="2" builtinId="9" hidden="1"/>
    <cellStyle name="Hyperlink" xfId="37" builtinId="8" hidden="1"/>
    <cellStyle name="Hyperlink" xfId="3" builtinId="8" hidden="1"/>
    <cellStyle name="Hyperlink" xfId="5" builtinId="8" hidden="1"/>
    <cellStyle name="Hyperlink" xfId="17" builtinId="8" hidden="1"/>
    <cellStyle name="Hyperlink" xfId="1" builtinId="8" hidden="1"/>
    <cellStyle name="Hyperlink" xfId="11" builtinId="8" hidden="1"/>
    <cellStyle name="Hyperlink" xfId="15" builtinId="8" hidden="1"/>
    <cellStyle name="Hyperlink" xfId="13" builtinId="8" hidden="1"/>
    <cellStyle name="Hyperlink" xfId="49" builtinId="8" hidden="1"/>
    <cellStyle name="Hyperlink" xfId="19" builtinId="8" hidden="1"/>
    <cellStyle name="Hyperlink" xfId="23" builtinId="8" hidden="1"/>
    <cellStyle name="Hyperlink" xfId="21" builtinId="8" hidden="1"/>
    <cellStyle name="Hyperlink" xfId="25" builtinId="8" hidden="1"/>
    <cellStyle name="Hyperlink" xfId="7" builtinId="8" hidden="1"/>
    <cellStyle name="Hyperlink" xfId="29" builtinId="8" hidden="1"/>
    <cellStyle name="Hyperlink" xfId="33" builtinId="8" hidden="1"/>
    <cellStyle name="Hyperlink" xfId="31" builtinId="8" hidden="1"/>
    <cellStyle name="Hyperlink" xfId="35" builtinId="8" hidden="1"/>
    <cellStyle name="Hyperlink" xfId="53" builtinId="8" hidden="1"/>
    <cellStyle name="Hyperlink" xfId="39" builtinId="8" hidden="1"/>
    <cellStyle name="Hyperlink" xfId="43" builtinId="8" hidden="1"/>
    <cellStyle name="Hyperlink" xfId="41" builtinId="8" hidden="1"/>
    <cellStyle name="Hyperlink" xfId="9" builtinId="8" hidden="1"/>
    <cellStyle name="Hyperlink" xfId="47" builtinId="8" hidden="1"/>
    <cellStyle name="Hyperlink" xfId="45" builtinId="8" hidden="1"/>
    <cellStyle name="Hyperlink" xfId="51" builtinId="8" hidden="1"/>
    <cellStyle name="Hyperlink" xfId="27" builtinId="8" hidden="1"/>
    <cellStyle name="Hyperlink" xfId="56" builtinId="8" customBuiltin="1"/>
    <cellStyle name="Normal" xfId="0" builtinId="0"/>
    <cellStyle name="Normal 2" xfId="55" xr:uid="{00000000-0005-0000-0000-000039000000}"/>
  </cellStyles>
  <dxfs count="0"/>
  <tableStyles count="0" defaultTableStyle="TableStyleMedium2" defaultPivotStyle="PivotStyleLight16"/>
  <colors>
    <mruColors>
      <color rgb="FFFF9966"/>
      <color rgb="FFFF6600"/>
      <color rgb="FFE7C267"/>
      <color rgb="FF66FFCC"/>
      <color rgb="FFC45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"/>
  <sheetViews>
    <sheetView showGridLines="0" tabSelected="1" view="pageBreakPreview" topLeftCell="A54" zoomScale="70" zoomScaleNormal="85" zoomScaleSheetLayoutView="70" workbookViewId="0">
      <selection activeCell="Q14" sqref="Q14"/>
    </sheetView>
  </sheetViews>
  <sheetFormatPr defaultColWidth="8.85546875" defaultRowHeight="14.25" x14ac:dyDescent="0.2"/>
  <cols>
    <col min="1" max="1" width="5" style="10" customWidth="1"/>
    <col min="2" max="2" width="5.7109375" style="10" customWidth="1"/>
    <col min="3" max="3" width="29.28515625" style="3" customWidth="1"/>
    <col min="4" max="4" width="1.7109375" style="3" hidden="1" customWidth="1"/>
    <col min="5" max="5" width="10.5703125" style="2" customWidth="1"/>
    <col min="6" max="6" width="7.5703125" style="3" bestFit="1" customWidth="1"/>
    <col min="7" max="7" width="8.85546875" style="3" customWidth="1"/>
    <col min="8" max="8" width="9.42578125" style="4" customWidth="1"/>
    <col min="9" max="10" width="10" style="4" customWidth="1"/>
    <col min="11" max="11" width="8.85546875" style="4" customWidth="1"/>
    <col min="12" max="12" width="12.42578125" style="4" customWidth="1"/>
    <col min="13" max="13" width="7.5703125" style="67" customWidth="1"/>
    <col min="14" max="14" width="7" style="3" customWidth="1"/>
    <col min="15" max="15" width="7.5703125" style="3" customWidth="1"/>
    <col min="16" max="16" width="18.140625" style="4" bestFit="1" customWidth="1"/>
    <col min="17" max="17" width="12.85546875" style="4" bestFit="1" customWidth="1"/>
    <col min="18" max="18" width="11.5703125" style="4" customWidth="1"/>
    <col min="19" max="19" width="16.42578125" style="4" customWidth="1"/>
    <col min="20" max="20" width="17.140625" style="4" bestFit="1" customWidth="1"/>
    <col min="21" max="21" width="13.5703125" style="3" bestFit="1" customWidth="1"/>
    <col min="22" max="22" width="16.7109375" style="110" customWidth="1"/>
    <col min="23" max="23" width="13" style="60" customWidth="1"/>
    <col min="24" max="24" width="10.5703125" style="60" customWidth="1"/>
    <col min="25" max="25" width="11.140625" style="60" customWidth="1"/>
    <col min="26" max="26" width="11.28515625" style="60" customWidth="1"/>
    <col min="27" max="27" width="10.28515625" style="60" customWidth="1"/>
    <col min="28" max="28" width="12.5703125" style="64" customWidth="1"/>
    <col min="29" max="29" width="10.5703125" style="60" customWidth="1"/>
    <col min="30" max="30" width="32.85546875" style="60" customWidth="1"/>
    <col min="31" max="31" width="17.5703125" style="5" bestFit="1" customWidth="1"/>
    <col min="32" max="16384" width="8.85546875" style="5"/>
  </cols>
  <sheetData>
    <row r="1" spans="1:30" ht="5.25" customHeight="1" thickBot="1" x14ac:dyDescent="0.25"/>
    <row r="2" spans="1:30" s="29" customFormat="1" ht="16.5" thickBot="1" x14ac:dyDescent="0.3">
      <c r="A2" s="224" t="s">
        <v>149</v>
      </c>
      <c r="B2" s="224"/>
      <c r="C2" s="224"/>
      <c r="D2" s="224"/>
      <c r="E2" s="224"/>
      <c r="H2" s="230" t="s">
        <v>1</v>
      </c>
      <c r="I2" s="230"/>
      <c r="J2" s="230"/>
      <c r="K2" s="230"/>
      <c r="L2" s="230"/>
      <c r="M2" s="230"/>
      <c r="N2" s="230"/>
      <c r="O2" s="230"/>
      <c r="P2" s="230"/>
      <c r="Q2" s="230"/>
      <c r="R2" s="30"/>
      <c r="S2" s="236" t="s">
        <v>2</v>
      </c>
      <c r="T2" s="231">
        <v>46213</v>
      </c>
      <c r="U2" s="231"/>
      <c r="V2" s="111"/>
      <c r="W2" s="29" t="s">
        <v>3</v>
      </c>
      <c r="X2" s="75">
        <v>500</v>
      </c>
      <c r="Y2" s="29" t="s">
        <v>160</v>
      </c>
      <c r="Z2" s="75"/>
      <c r="AA2" s="145"/>
      <c r="AB2" s="155" t="s">
        <v>171</v>
      </c>
      <c r="AC2" s="76">
        <v>256.31</v>
      </c>
      <c r="AD2" s="61"/>
    </row>
    <row r="3" spans="1:30" s="29" customFormat="1" ht="16.5" thickBot="1" x14ac:dyDescent="0.3">
      <c r="A3" s="224"/>
      <c r="B3" s="224"/>
      <c r="C3" s="224"/>
      <c r="D3" s="224"/>
      <c r="E3" s="224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30"/>
      <c r="S3" s="236"/>
      <c r="T3" s="231"/>
      <c r="U3" s="231"/>
      <c r="V3" s="111"/>
      <c r="W3" s="29" t="s">
        <v>4</v>
      </c>
      <c r="X3" s="81">
        <f>AC5/14</f>
        <v>18.307857142857141</v>
      </c>
      <c r="Y3" s="146"/>
      <c r="Z3" s="146"/>
      <c r="AA3" s="146"/>
      <c r="AB3" s="31"/>
      <c r="AC3" s="63"/>
      <c r="AD3" s="61"/>
    </row>
    <row r="4" spans="1:30" s="29" customFormat="1" ht="16.5" thickBot="1" x14ac:dyDescent="0.3">
      <c r="A4" s="224"/>
      <c r="B4" s="224"/>
      <c r="C4" s="224"/>
      <c r="D4" s="224"/>
      <c r="E4" s="224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30"/>
      <c r="S4" s="236"/>
      <c r="T4" s="231"/>
      <c r="U4" s="231"/>
      <c r="V4" s="111"/>
      <c r="W4" s="29" t="s">
        <v>5</v>
      </c>
      <c r="X4" s="79">
        <v>20</v>
      </c>
      <c r="Y4" s="147"/>
      <c r="Z4" s="146"/>
      <c r="AA4" s="147"/>
      <c r="AC4" s="63"/>
      <c r="AD4" s="61"/>
    </row>
    <row r="5" spans="1:30" s="29" customFormat="1" ht="16.5" thickBot="1" x14ac:dyDescent="0.3">
      <c r="A5" s="224"/>
      <c r="B5" s="224"/>
      <c r="C5" s="224"/>
      <c r="D5" s="224"/>
      <c r="E5" s="224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30"/>
      <c r="S5" s="236"/>
      <c r="T5" s="231"/>
      <c r="U5" s="231"/>
      <c r="V5" s="111"/>
      <c r="X5" s="82"/>
      <c r="Y5" s="3"/>
      <c r="Z5" s="3"/>
      <c r="AA5" s="3"/>
      <c r="AB5" s="78" t="s">
        <v>4</v>
      </c>
      <c r="AC5" s="80">
        <f>AC2+AC3+AC4</f>
        <v>256.31</v>
      </c>
      <c r="AD5" s="77"/>
    </row>
    <row r="6" spans="1:30" ht="22.5" customHeight="1" x14ac:dyDescent="0.25">
      <c r="A6" s="202" t="s">
        <v>6</v>
      </c>
      <c r="B6" s="202" t="s">
        <v>147</v>
      </c>
      <c r="C6" s="48" t="s">
        <v>7</v>
      </c>
      <c r="D6" s="205" t="s">
        <v>8</v>
      </c>
      <c r="E6" s="226" t="s">
        <v>9</v>
      </c>
      <c r="F6" s="202" t="s">
        <v>10</v>
      </c>
      <c r="G6" s="203" t="s">
        <v>11</v>
      </c>
      <c r="H6" s="203" t="s">
        <v>12</v>
      </c>
      <c r="I6" s="204" t="s">
        <v>13</v>
      </c>
      <c r="J6" s="221" t="s">
        <v>158</v>
      </c>
      <c r="K6" s="218" t="s">
        <v>152</v>
      </c>
      <c r="L6" s="218" t="s">
        <v>153</v>
      </c>
      <c r="M6" s="206" t="s">
        <v>14</v>
      </c>
      <c r="N6" s="204" t="s">
        <v>15</v>
      </c>
      <c r="O6" s="204" t="s">
        <v>142</v>
      </c>
      <c r="P6" s="232" t="s">
        <v>17</v>
      </c>
      <c r="Q6" s="232" t="s">
        <v>18</v>
      </c>
      <c r="R6" s="232" t="s">
        <v>19</v>
      </c>
      <c r="S6" s="203" t="s">
        <v>148</v>
      </c>
      <c r="T6" s="232" t="s">
        <v>20</v>
      </c>
      <c r="U6" s="202" t="s">
        <v>22</v>
      </c>
      <c r="V6" s="201" t="s">
        <v>23</v>
      </c>
      <c r="W6" s="181" t="s">
        <v>24</v>
      </c>
      <c r="X6" s="181" t="s">
        <v>25</v>
      </c>
      <c r="Y6" s="181" t="s">
        <v>161</v>
      </c>
      <c r="Z6" s="181" t="s">
        <v>162</v>
      </c>
      <c r="AA6" s="181" t="s">
        <v>163</v>
      </c>
      <c r="AB6" s="198" t="s">
        <v>26</v>
      </c>
      <c r="AC6" s="181" t="s">
        <v>27</v>
      </c>
      <c r="AD6" s="181" t="s">
        <v>28</v>
      </c>
    </row>
    <row r="7" spans="1:30" ht="5.25" customHeight="1" x14ac:dyDescent="0.25">
      <c r="A7" s="202"/>
      <c r="B7" s="202"/>
      <c r="C7" s="12"/>
      <c r="D7" s="228"/>
      <c r="E7" s="226"/>
      <c r="F7" s="202"/>
      <c r="G7" s="203"/>
      <c r="H7" s="203"/>
      <c r="I7" s="204"/>
      <c r="J7" s="222"/>
      <c r="K7" s="219"/>
      <c r="L7" s="219"/>
      <c r="M7" s="206"/>
      <c r="N7" s="204"/>
      <c r="O7" s="204"/>
      <c r="P7" s="232"/>
      <c r="Q7" s="232"/>
      <c r="R7" s="232"/>
      <c r="S7" s="203"/>
      <c r="T7" s="232"/>
      <c r="U7" s="202"/>
      <c r="V7" s="201"/>
      <c r="W7" s="182"/>
      <c r="X7" s="182"/>
      <c r="Y7" s="182"/>
      <c r="Z7" s="182"/>
      <c r="AA7" s="182"/>
      <c r="AB7" s="199"/>
      <c r="AC7" s="182"/>
      <c r="AD7" s="182"/>
    </row>
    <row r="8" spans="1:30" s="1" customFormat="1" ht="15" x14ac:dyDescent="0.25">
      <c r="A8" s="202"/>
      <c r="B8" s="202"/>
      <c r="C8" s="12" t="s">
        <v>28</v>
      </c>
      <c r="D8" s="229"/>
      <c r="E8" s="227"/>
      <c r="F8" s="205"/>
      <c r="G8" s="221"/>
      <c r="H8" s="221"/>
      <c r="I8" s="218"/>
      <c r="J8" s="223"/>
      <c r="K8" s="220"/>
      <c r="L8" s="220"/>
      <c r="M8" s="225"/>
      <c r="N8" s="218"/>
      <c r="O8" s="218"/>
      <c r="P8" s="233"/>
      <c r="Q8" s="233"/>
      <c r="R8" s="233"/>
      <c r="S8" s="221"/>
      <c r="T8" s="233"/>
      <c r="U8" s="205"/>
      <c r="V8" s="201"/>
      <c r="W8" s="183"/>
      <c r="X8" s="183"/>
      <c r="Y8" s="183"/>
      <c r="Z8" s="183"/>
      <c r="AA8" s="183"/>
      <c r="AB8" s="200"/>
      <c r="AC8" s="183"/>
      <c r="AD8" s="183"/>
    </row>
    <row r="9" spans="1:30" ht="15" x14ac:dyDescent="0.25">
      <c r="A9" s="6">
        <v>1</v>
      </c>
      <c r="B9" s="6">
        <v>444</v>
      </c>
      <c r="C9" s="8" t="s">
        <v>86</v>
      </c>
      <c r="D9" s="8" t="s">
        <v>50</v>
      </c>
      <c r="E9" s="17">
        <v>33</v>
      </c>
      <c r="F9" s="66">
        <f t="shared" ref="F9:F14" si="0">AC9*AB9</f>
        <v>87.5</v>
      </c>
      <c r="G9" s="66">
        <f>E9*1.5</f>
        <v>49.5</v>
      </c>
      <c r="H9" s="16">
        <f>E9*1.5</f>
        <v>49.5</v>
      </c>
      <c r="I9" s="16">
        <f>E9*2</f>
        <v>66</v>
      </c>
      <c r="J9" s="16">
        <f>E9</f>
        <v>33</v>
      </c>
      <c r="K9" s="66"/>
      <c r="L9" s="16">
        <f>J9*K9</f>
        <v>0</v>
      </c>
      <c r="M9" s="66"/>
      <c r="N9" s="66">
        <v>14</v>
      </c>
      <c r="O9" s="66">
        <v>10</v>
      </c>
      <c r="P9" s="16"/>
      <c r="Q9" s="7"/>
      <c r="R9" s="7"/>
      <c r="S9" s="16">
        <f>Z2</f>
        <v>0</v>
      </c>
      <c r="T9" s="16">
        <f t="shared" ref="T9:T14" si="1">(E9*F9)+(G9*M9)+(H9*N9)+(I9*O9)-P9-Q9-R9+S9+L9</f>
        <v>4240.5</v>
      </c>
      <c r="U9" s="8" t="s">
        <v>33</v>
      </c>
      <c r="V9" s="109">
        <v>1307940420</v>
      </c>
      <c r="W9" s="62">
        <f>T9+R9+Q9+P9</f>
        <v>4240.5</v>
      </c>
      <c r="X9" s="16">
        <f>E9*8.75</f>
        <v>288.75</v>
      </c>
      <c r="Y9" s="68"/>
      <c r="Z9" s="161">
        <v>5</v>
      </c>
      <c r="AA9" s="161">
        <v>5</v>
      </c>
      <c r="AB9" s="148">
        <f>Y9+Z9+AA9</f>
        <v>10</v>
      </c>
      <c r="AC9" s="62">
        <v>8.75</v>
      </c>
      <c r="AD9" s="69" t="str">
        <f>C9</f>
        <v>AARON MOSELANE</v>
      </c>
    </row>
    <row r="10" spans="1:30" ht="15" x14ac:dyDescent="0.25">
      <c r="A10" s="6">
        <v>2</v>
      </c>
      <c r="B10" s="6">
        <v>458</v>
      </c>
      <c r="C10" s="118" t="s">
        <v>141</v>
      </c>
      <c r="D10" s="8" t="s">
        <v>32</v>
      </c>
      <c r="E10" s="17">
        <v>33.92</v>
      </c>
      <c r="F10" s="66">
        <f t="shared" si="0"/>
        <v>78.75</v>
      </c>
      <c r="G10" s="66">
        <f>E10*1.5</f>
        <v>50.88</v>
      </c>
      <c r="H10" s="16">
        <f>E10*1.5</f>
        <v>50.88</v>
      </c>
      <c r="I10" s="16">
        <f>E10*2</f>
        <v>67.84</v>
      </c>
      <c r="J10" s="16">
        <f t="shared" ref="J10:J14" si="2">E10</f>
        <v>33.92</v>
      </c>
      <c r="K10" s="66"/>
      <c r="L10" s="16">
        <f t="shared" ref="L10:L14" si="3">J10*K10</f>
        <v>0</v>
      </c>
      <c r="M10" s="66"/>
      <c r="N10" s="72"/>
      <c r="O10" s="72"/>
      <c r="P10" s="16"/>
      <c r="Q10" s="18"/>
      <c r="R10" s="18"/>
      <c r="S10" s="16"/>
      <c r="T10" s="16">
        <f t="shared" si="1"/>
        <v>2671.2000000000003</v>
      </c>
      <c r="U10" s="112" t="s">
        <v>36</v>
      </c>
      <c r="V10" s="109">
        <v>1768624397</v>
      </c>
      <c r="W10" s="62">
        <f t="shared" ref="W10" si="4">T10+R10+Q10+P10</f>
        <v>2671.2000000000003</v>
      </c>
      <c r="X10" s="16">
        <f>E10*8.75</f>
        <v>296.8</v>
      </c>
      <c r="Y10" s="68"/>
      <c r="Z10" s="161">
        <v>5</v>
      </c>
      <c r="AA10" s="161">
        <v>4</v>
      </c>
      <c r="AB10" s="148">
        <f t="shared" ref="AB10:AB54" si="5">Y10+Z10+AA10</f>
        <v>9</v>
      </c>
      <c r="AC10" s="62">
        <v>8.75</v>
      </c>
      <c r="AD10" s="8" t="str">
        <f>C10</f>
        <v>ALLEN MSIMANGA</v>
      </c>
    </row>
    <row r="11" spans="1:30" ht="15" x14ac:dyDescent="0.25">
      <c r="A11" s="6">
        <v>3</v>
      </c>
      <c r="B11" s="6">
        <v>459</v>
      </c>
      <c r="C11" s="8" t="s">
        <v>135</v>
      </c>
      <c r="D11" s="8"/>
      <c r="E11" s="17">
        <v>40</v>
      </c>
      <c r="F11" s="66">
        <f t="shared" si="0"/>
        <v>87.5</v>
      </c>
      <c r="G11" s="66">
        <f>E11*1.5</f>
        <v>60</v>
      </c>
      <c r="H11" s="16">
        <f>E11*1.5</f>
        <v>60</v>
      </c>
      <c r="I11" s="16">
        <f>E11*2</f>
        <v>80</v>
      </c>
      <c r="J11" s="16">
        <f t="shared" si="2"/>
        <v>40</v>
      </c>
      <c r="K11" s="66"/>
      <c r="L11" s="16">
        <f t="shared" si="3"/>
        <v>0</v>
      </c>
      <c r="M11" s="66"/>
      <c r="N11" s="66"/>
      <c r="O11" s="66"/>
      <c r="P11" s="16"/>
      <c r="Q11" s="7">
        <f>X4</f>
        <v>20</v>
      </c>
      <c r="R11" s="7">
        <f>X3</f>
        <v>18.307857142857141</v>
      </c>
      <c r="S11" s="16"/>
      <c r="T11" s="16">
        <f t="shared" si="1"/>
        <v>3461.6921428571427</v>
      </c>
      <c r="U11" s="8" t="s">
        <v>40</v>
      </c>
      <c r="V11" s="109">
        <v>62386844198</v>
      </c>
      <c r="W11" s="62">
        <f t="shared" ref="W11" si="6">T11+R11+Q11+P11</f>
        <v>3500</v>
      </c>
      <c r="X11" s="16">
        <f>E11*8.75</f>
        <v>350</v>
      </c>
      <c r="Y11" s="68"/>
      <c r="Z11" s="161">
        <v>5</v>
      </c>
      <c r="AA11" s="161">
        <v>5</v>
      </c>
      <c r="AB11" s="148">
        <f t="shared" si="5"/>
        <v>10</v>
      </c>
      <c r="AC11" s="62">
        <v>8.75</v>
      </c>
      <c r="AD11" s="69" t="str">
        <f>C11</f>
        <v>ANDREW ELIAS MASELELA</v>
      </c>
    </row>
    <row r="12" spans="1:30" ht="15" x14ac:dyDescent="0.25">
      <c r="A12" s="6">
        <v>4</v>
      </c>
      <c r="B12" s="137">
        <v>483</v>
      </c>
      <c r="C12" s="8" t="s">
        <v>155</v>
      </c>
      <c r="D12" s="8"/>
      <c r="E12" s="17">
        <v>40</v>
      </c>
      <c r="F12" s="66">
        <f t="shared" si="0"/>
        <v>87.5</v>
      </c>
      <c r="G12" s="66">
        <f>E12*1.5</f>
        <v>60</v>
      </c>
      <c r="H12" s="16">
        <f>E12*1.5</f>
        <v>60</v>
      </c>
      <c r="I12" s="16">
        <f>E12*2</f>
        <v>80</v>
      </c>
      <c r="J12" s="16">
        <f t="shared" ref="J12" si="7">E12</f>
        <v>40</v>
      </c>
      <c r="K12" s="66"/>
      <c r="L12" s="16">
        <f t="shared" ref="L12" si="8">J12*K12</f>
        <v>0</v>
      </c>
      <c r="M12" s="66"/>
      <c r="N12" s="66">
        <v>14</v>
      </c>
      <c r="O12" s="66">
        <v>5</v>
      </c>
      <c r="P12" s="16"/>
      <c r="Q12" s="7">
        <f>X4</f>
        <v>20</v>
      </c>
      <c r="R12" s="7">
        <f>X3</f>
        <v>18.307857142857141</v>
      </c>
      <c r="S12" s="16"/>
      <c r="T12" s="16">
        <f t="shared" si="1"/>
        <v>4701.6921428571432</v>
      </c>
      <c r="U12" s="8"/>
      <c r="V12" s="109"/>
      <c r="W12" s="62">
        <f t="shared" ref="W12:W13" si="9">T12+R12+Q12+P12</f>
        <v>4740</v>
      </c>
      <c r="X12" s="16">
        <f>E12*8.75</f>
        <v>350</v>
      </c>
      <c r="Y12" s="68"/>
      <c r="Z12" s="161">
        <v>5</v>
      </c>
      <c r="AA12" s="161">
        <v>5</v>
      </c>
      <c r="AB12" s="148">
        <f t="shared" si="5"/>
        <v>10</v>
      </c>
      <c r="AC12" s="62">
        <v>8.75</v>
      </c>
      <c r="AD12" s="69" t="str">
        <f>C12</f>
        <v>AUBREY MATHEBULA</v>
      </c>
    </row>
    <row r="13" spans="1:30" ht="15" x14ac:dyDescent="0.25">
      <c r="A13" s="6">
        <v>5</v>
      </c>
      <c r="B13" s="49">
        <v>398</v>
      </c>
      <c r="C13" s="140" t="s">
        <v>150</v>
      </c>
      <c r="D13" s="140"/>
      <c r="E13" s="17">
        <v>44.72</v>
      </c>
      <c r="F13" s="141">
        <f>AC13*AB13</f>
        <v>87.5</v>
      </c>
      <c r="G13" s="141">
        <f t="shared" ref="G13" si="10">E13*1.5</f>
        <v>67.08</v>
      </c>
      <c r="H13" s="142">
        <f t="shared" ref="H13" si="11">E13*1.5</f>
        <v>67.08</v>
      </c>
      <c r="I13" s="142">
        <f t="shared" ref="I13" si="12">E13*2</f>
        <v>89.44</v>
      </c>
      <c r="J13" s="16">
        <f t="shared" si="2"/>
        <v>44.72</v>
      </c>
      <c r="K13" s="66"/>
      <c r="L13" s="16">
        <f t="shared" si="3"/>
        <v>0</v>
      </c>
      <c r="M13" s="141"/>
      <c r="N13" s="141">
        <v>7</v>
      </c>
      <c r="O13" s="141">
        <v>5</v>
      </c>
      <c r="P13" s="142"/>
      <c r="Q13" s="143"/>
      <c r="R13" s="142"/>
      <c r="S13" s="16">
        <f>Z2</f>
        <v>0</v>
      </c>
      <c r="T13" s="16">
        <f t="shared" si="1"/>
        <v>4829.76</v>
      </c>
      <c r="U13" s="140"/>
      <c r="V13" s="144"/>
      <c r="W13" s="62">
        <f t="shared" si="9"/>
        <v>4829.76</v>
      </c>
      <c r="X13" s="16">
        <v>357.76</v>
      </c>
      <c r="Y13" s="68"/>
      <c r="Z13" s="161">
        <v>5</v>
      </c>
      <c r="AA13" s="161">
        <v>5</v>
      </c>
      <c r="AB13" s="148">
        <f t="shared" si="5"/>
        <v>10</v>
      </c>
      <c r="AC13" s="62">
        <v>8.75</v>
      </c>
      <c r="AD13" s="8" t="s">
        <v>150</v>
      </c>
    </row>
    <row r="14" spans="1:30" ht="15" x14ac:dyDescent="0.25">
      <c r="A14" s="6">
        <v>6</v>
      </c>
      <c r="B14" s="6">
        <v>331</v>
      </c>
      <c r="C14" s="8" t="s">
        <v>31</v>
      </c>
      <c r="D14" s="8" t="s">
        <v>32</v>
      </c>
      <c r="E14" s="17">
        <v>38.159999999999997</v>
      </c>
      <c r="F14" s="66">
        <f t="shared" si="0"/>
        <v>87.5</v>
      </c>
      <c r="G14" s="66">
        <f>E14*1.5</f>
        <v>57.239999999999995</v>
      </c>
      <c r="H14" s="16">
        <f>E14*1.5</f>
        <v>57.239999999999995</v>
      </c>
      <c r="I14" s="16">
        <f>E14*2</f>
        <v>76.319999999999993</v>
      </c>
      <c r="J14" s="16">
        <f t="shared" si="2"/>
        <v>38.159999999999997</v>
      </c>
      <c r="K14" s="66"/>
      <c r="L14" s="16">
        <f t="shared" si="3"/>
        <v>0</v>
      </c>
      <c r="M14" s="66"/>
      <c r="N14" s="66">
        <v>9</v>
      </c>
      <c r="O14" s="66"/>
      <c r="P14" s="16"/>
      <c r="Q14" s="22"/>
      <c r="R14" s="22"/>
      <c r="S14" s="16">
        <f>Z2</f>
        <v>0</v>
      </c>
      <c r="T14" s="16">
        <f t="shared" si="1"/>
        <v>3854.1599999999994</v>
      </c>
      <c r="U14" s="188" t="s">
        <v>33</v>
      </c>
      <c r="V14" s="212">
        <v>1213165793</v>
      </c>
      <c r="W14" s="190">
        <f>T14+R14+Q14+P14</f>
        <v>3854.1599999999994</v>
      </c>
      <c r="X14" s="192">
        <f>E14*8.75</f>
        <v>333.9</v>
      </c>
      <c r="Y14" s="186"/>
      <c r="Z14" s="184">
        <v>5</v>
      </c>
      <c r="AA14" s="184">
        <v>5</v>
      </c>
      <c r="AB14" s="196">
        <f t="shared" si="5"/>
        <v>10</v>
      </c>
      <c r="AC14" s="190">
        <v>8.75</v>
      </c>
      <c r="AD14" s="188" t="str">
        <f>C14</f>
        <v>BLONDY MALEPE</v>
      </c>
    </row>
    <row r="15" spans="1:30" ht="15" x14ac:dyDescent="0.2">
      <c r="A15" s="209" t="s">
        <v>34</v>
      </c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16">
        <f>X2</f>
        <v>500</v>
      </c>
      <c r="U15" s="189"/>
      <c r="V15" s="213"/>
      <c r="W15" s="191"/>
      <c r="X15" s="193"/>
      <c r="Y15" s="187"/>
      <c r="Z15" s="185"/>
      <c r="AA15" s="185"/>
      <c r="AB15" s="197">
        <f t="shared" si="5"/>
        <v>0</v>
      </c>
      <c r="AC15" s="191"/>
      <c r="AD15" s="189"/>
    </row>
    <row r="16" spans="1:30" ht="15" x14ac:dyDescent="0.2">
      <c r="A16" s="49">
        <v>8</v>
      </c>
      <c r="B16" s="49">
        <v>122</v>
      </c>
      <c r="C16" s="118" t="s">
        <v>35</v>
      </c>
      <c r="D16" s="8" t="s">
        <v>32</v>
      </c>
      <c r="E16" s="17">
        <v>38.159999999999997</v>
      </c>
      <c r="F16" s="66">
        <f>AC16*AB16</f>
        <v>0</v>
      </c>
      <c r="G16" s="66">
        <f>E16*1.5</f>
        <v>57.239999999999995</v>
      </c>
      <c r="H16" s="16">
        <f>E16*1.5</f>
        <v>57.239999999999995</v>
      </c>
      <c r="I16" s="16">
        <f>E16*2</f>
        <v>76.319999999999993</v>
      </c>
      <c r="J16" s="16">
        <f t="shared" ref="J16:J17" si="13">E16</f>
        <v>38.159999999999997</v>
      </c>
      <c r="K16" s="66"/>
      <c r="L16" s="16">
        <f t="shared" ref="L16:L17" si="14">J16*K16</f>
        <v>0</v>
      </c>
      <c r="M16" s="66"/>
      <c r="N16" s="72"/>
      <c r="O16" s="72"/>
      <c r="P16" s="16"/>
      <c r="Q16" s="18"/>
      <c r="R16" s="18"/>
      <c r="S16" s="16">
        <f>Z2</f>
        <v>0</v>
      </c>
      <c r="T16" s="16">
        <f>(E16*F16)+(G16*M16)+(H16*N16)+(I16*O16)-P16-Q16-R16+S16+L16</f>
        <v>0</v>
      </c>
      <c r="U16" s="112" t="s">
        <v>36</v>
      </c>
      <c r="V16" s="109">
        <v>1429481380</v>
      </c>
      <c r="W16" s="62">
        <f>T16+R16+Q16+P16</f>
        <v>0</v>
      </c>
      <c r="X16" s="16">
        <f>E16*8.75</f>
        <v>333.9</v>
      </c>
      <c r="Y16" s="68"/>
      <c r="Z16" s="161">
        <v>0</v>
      </c>
      <c r="AA16" s="68">
        <v>0</v>
      </c>
      <c r="AB16" s="65">
        <f t="shared" si="5"/>
        <v>0</v>
      </c>
      <c r="AC16" s="62">
        <v>8.75</v>
      </c>
      <c r="AD16" s="8" t="str">
        <f>C16</f>
        <v>COSTER MALEPE</v>
      </c>
    </row>
    <row r="17" spans="1:30" ht="15" x14ac:dyDescent="0.25">
      <c r="A17" s="49">
        <v>9</v>
      </c>
      <c r="B17" s="49">
        <v>332</v>
      </c>
      <c r="C17" s="8" t="s">
        <v>37</v>
      </c>
      <c r="D17" s="8" t="s">
        <v>29</v>
      </c>
      <c r="E17" s="17">
        <v>34.520000000000003</v>
      </c>
      <c r="F17" s="66">
        <f>AC17*AB17</f>
        <v>87.5</v>
      </c>
      <c r="G17" s="66">
        <f>E17*1.5</f>
        <v>51.78</v>
      </c>
      <c r="H17" s="16">
        <f>E17*1.5</f>
        <v>51.78</v>
      </c>
      <c r="I17" s="16">
        <f>E17*2</f>
        <v>69.040000000000006</v>
      </c>
      <c r="J17" s="16">
        <f t="shared" si="13"/>
        <v>34.520000000000003</v>
      </c>
      <c r="K17" s="66"/>
      <c r="L17" s="16">
        <f t="shared" si="14"/>
        <v>0</v>
      </c>
      <c r="M17" s="66"/>
      <c r="N17" s="66">
        <v>14</v>
      </c>
      <c r="O17" s="66">
        <v>5</v>
      </c>
      <c r="P17" s="16"/>
      <c r="Q17" s="22"/>
      <c r="R17" s="22"/>
      <c r="S17" s="16">
        <f>Z2</f>
        <v>0</v>
      </c>
      <c r="T17" s="16">
        <f>(E17*F17)+(G17*M17)+(H17*N17)+(I17*O17)-P17-Q17-R17+S17+L17</f>
        <v>4090.6200000000008</v>
      </c>
      <c r="U17" s="188" t="s">
        <v>33</v>
      </c>
      <c r="V17" s="212"/>
      <c r="W17" s="190">
        <f>T17+R17+Q17+P17</f>
        <v>4090.6200000000008</v>
      </c>
      <c r="X17" s="192">
        <f>E17*8.75</f>
        <v>302.05</v>
      </c>
      <c r="Y17" s="186"/>
      <c r="Z17" s="184">
        <v>5</v>
      </c>
      <c r="AA17" s="184">
        <v>5</v>
      </c>
      <c r="AB17" s="196">
        <f t="shared" si="5"/>
        <v>10</v>
      </c>
      <c r="AC17" s="190">
        <v>8.75</v>
      </c>
      <c r="AD17" s="188" t="str">
        <f>C17</f>
        <v>DANGER MAWELELA</v>
      </c>
    </row>
    <row r="18" spans="1:30" ht="15" x14ac:dyDescent="0.2">
      <c r="A18" s="209" t="s">
        <v>34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1"/>
      <c r="T18" s="16">
        <f>X2</f>
        <v>500</v>
      </c>
      <c r="U18" s="189"/>
      <c r="V18" s="213"/>
      <c r="W18" s="191"/>
      <c r="X18" s="193"/>
      <c r="Y18" s="187"/>
      <c r="Z18" s="185"/>
      <c r="AA18" s="185"/>
      <c r="AB18" s="197">
        <f t="shared" si="5"/>
        <v>0</v>
      </c>
      <c r="AC18" s="191"/>
      <c r="AD18" s="189"/>
    </row>
    <row r="19" spans="1:30" ht="15" x14ac:dyDescent="0.25">
      <c r="A19" s="49">
        <v>10</v>
      </c>
      <c r="B19" s="49">
        <v>421</v>
      </c>
      <c r="C19" s="8" t="s">
        <v>38</v>
      </c>
      <c r="D19" s="8" t="s">
        <v>39</v>
      </c>
      <c r="E19" s="17">
        <v>40</v>
      </c>
      <c r="F19" s="66">
        <f>AC19*AB19</f>
        <v>87.5</v>
      </c>
      <c r="G19" s="66">
        <f>E19*1.5</f>
        <v>60</v>
      </c>
      <c r="H19" s="16">
        <f>E19*1.5</f>
        <v>60</v>
      </c>
      <c r="I19" s="16">
        <f>E19*2</f>
        <v>80</v>
      </c>
      <c r="J19" s="16">
        <f t="shared" ref="J19:J21" si="15">E19</f>
        <v>40</v>
      </c>
      <c r="K19" s="66"/>
      <c r="L19" s="16">
        <v>107.5</v>
      </c>
      <c r="M19" s="66"/>
      <c r="N19" s="66">
        <v>9.5</v>
      </c>
      <c r="O19" s="66">
        <v>5</v>
      </c>
      <c r="P19" s="16">
        <v>107.5</v>
      </c>
      <c r="Q19" s="7"/>
      <c r="R19" s="7"/>
      <c r="S19" s="16"/>
      <c r="T19" s="16">
        <f>(E19*F19)+(G19*M19)+(H19*N19)+(I19*O19)-P19-Q19-R19+S19+L19</f>
        <v>4470</v>
      </c>
      <c r="U19" s="8" t="s">
        <v>40</v>
      </c>
      <c r="V19" s="109">
        <v>63193213188</v>
      </c>
      <c r="W19" s="62">
        <f>T19+R19+Q19+P19</f>
        <v>4577.5</v>
      </c>
      <c r="X19" s="16">
        <f>E19*8.75</f>
        <v>350</v>
      </c>
      <c r="Y19" s="68"/>
      <c r="Z19" s="161">
        <v>5</v>
      </c>
      <c r="AA19" s="161">
        <v>5</v>
      </c>
      <c r="AB19" s="65">
        <f t="shared" si="5"/>
        <v>10</v>
      </c>
      <c r="AC19" s="62">
        <v>8.75</v>
      </c>
      <c r="AD19" s="8" t="str">
        <f>C19</f>
        <v>DONALD JIYA</v>
      </c>
    </row>
    <row r="20" spans="1:30" ht="15" x14ac:dyDescent="0.25">
      <c r="A20" s="6">
        <v>11</v>
      </c>
      <c r="B20" s="6">
        <v>445</v>
      </c>
      <c r="C20" s="8" t="s">
        <v>88</v>
      </c>
      <c r="D20" s="8" t="s">
        <v>50</v>
      </c>
      <c r="E20" s="17">
        <v>33</v>
      </c>
      <c r="F20" s="66">
        <f>AC20*AB20</f>
        <v>87.5</v>
      </c>
      <c r="G20" s="66">
        <f>E20*1.5</f>
        <v>49.5</v>
      </c>
      <c r="H20" s="16">
        <f>E20*1.5</f>
        <v>49.5</v>
      </c>
      <c r="I20" s="16">
        <f>E20*2</f>
        <v>66</v>
      </c>
      <c r="J20" s="16">
        <f t="shared" si="15"/>
        <v>33</v>
      </c>
      <c r="K20" s="66"/>
      <c r="L20" s="16">
        <f t="shared" ref="L20:L21" si="16">J20*K20</f>
        <v>0</v>
      </c>
      <c r="M20" s="66"/>
      <c r="N20" s="66">
        <f>7+9</f>
        <v>16</v>
      </c>
      <c r="O20" s="66">
        <v>5</v>
      </c>
      <c r="P20" s="16"/>
      <c r="Q20" s="7"/>
      <c r="R20" s="7"/>
      <c r="S20" s="16"/>
      <c r="T20" s="16">
        <f>(E20*F20)+(G20*M20)+(H20*N20)+(I20*O20)-P20-Q20-R20+S20+L20</f>
        <v>4009.5</v>
      </c>
      <c r="U20" s="8" t="s">
        <v>58</v>
      </c>
      <c r="V20" s="109">
        <v>51064381105</v>
      </c>
      <c r="W20" s="62">
        <f>T20+R20+Q20+P20</f>
        <v>4009.5</v>
      </c>
      <c r="X20" s="16">
        <f>E20*8.75</f>
        <v>288.75</v>
      </c>
      <c r="Y20" s="68"/>
      <c r="Z20" s="161">
        <v>5</v>
      </c>
      <c r="AA20" s="161">
        <v>5</v>
      </c>
      <c r="AB20" s="65">
        <f t="shared" si="5"/>
        <v>10</v>
      </c>
      <c r="AC20" s="62">
        <v>8.75</v>
      </c>
      <c r="AD20" s="69" t="str">
        <f>C20</f>
        <v>DUBE HAPPINESS</v>
      </c>
    </row>
    <row r="21" spans="1:30" ht="15" x14ac:dyDescent="0.2">
      <c r="A21" s="49">
        <v>12</v>
      </c>
      <c r="B21" s="49">
        <v>119</v>
      </c>
      <c r="C21" s="8" t="s">
        <v>41</v>
      </c>
      <c r="D21" s="8" t="s">
        <v>39</v>
      </c>
      <c r="E21" s="17">
        <v>44.72</v>
      </c>
      <c r="F21" s="66">
        <f t="shared" ref="F21:F40" si="17">AC21*AB21</f>
        <v>87.5</v>
      </c>
      <c r="G21" s="66">
        <f>E21*1.5</f>
        <v>67.08</v>
      </c>
      <c r="H21" s="16">
        <f>E21*1.5</f>
        <v>67.08</v>
      </c>
      <c r="I21" s="16">
        <f>E21*2</f>
        <v>89.44</v>
      </c>
      <c r="J21" s="16">
        <f t="shared" si="15"/>
        <v>44.72</v>
      </c>
      <c r="K21" s="66"/>
      <c r="L21" s="16">
        <f t="shared" si="16"/>
        <v>0</v>
      </c>
      <c r="M21" s="66"/>
      <c r="N21" s="66">
        <v>2</v>
      </c>
      <c r="O21" s="66">
        <v>5</v>
      </c>
      <c r="P21" s="16"/>
      <c r="Q21" s="16"/>
      <c r="R21" s="16"/>
      <c r="S21" s="16">
        <f>Z2</f>
        <v>0</v>
      </c>
      <c r="T21" s="16">
        <f>(E21*F21)+(G21*M21)+(H21*N21)+(I21*O21)-P21-Q21-R21+S21+L21</f>
        <v>4494.3599999999997</v>
      </c>
      <c r="U21" s="251" t="s">
        <v>30</v>
      </c>
      <c r="V21" s="212">
        <v>10168280025</v>
      </c>
      <c r="W21" s="190">
        <f>T21+R21+Q21+P21</f>
        <v>4494.3599999999997</v>
      </c>
      <c r="X21" s="192">
        <f>E21*8.75</f>
        <v>391.3</v>
      </c>
      <c r="Y21" s="186"/>
      <c r="Z21" s="184">
        <v>5</v>
      </c>
      <c r="AA21" s="184">
        <v>5</v>
      </c>
      <c r="AB21" s="196">
        <f t="shared" si="5"/>
        <v>10</v>
      </c>
      <c r="AC21" s="190">
        <v>8.75</v>
      </c>
      <c r="AD21" s="188" t="str">
        <f>C21</f>
        <v>DUBE KUDAKWASHE</v>
      </c>
    </row>
    <row r="22" spans="1:30" ht="15" x14ac:dyDescent="0.2">
      <c r="A22" s="209" t="s">
        <v>34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1"/>
      <c r="T22" s="16">
        <f>X2</f>
        <v>500</v>
      </c>
      <c r="U22" s="252"/>
      <c r="V22" s="213"/>
      <c r="W22" s="191"/>
      <c r="X22" s="193"/>
      <c r="Y22" s="187"/>
      <c r="Z22" s="185"/>
      <c r="AA22" s="185"/>
      <c r="AB22" s="197">
        <f t="shared" si="5"/>
        <v>0</v>
      </c>
      <c r="AC22" s="191"/>
      <c r="AD22" s="189"/>
    </row>
    <row r="23" spans="1:30" ht="15" x14ac:dyDescent="0.25">
      <c r="A23" s="49">
        <v>13</v>
      </c>
      <c r="B23" s="49">
        <v>383</v>
      </c>
      <c r="C23" s="119" t="s">
        <v>42</v>
      </c>
      <c r="D23" s="8" t="s">
        <v>29</v>
      </c>
      <c r="E23" s="17">
        <v>35.31</v>
      </c>
      <c r="F23" s="66">
        <f t="shared" ref="F23" si="18">AC23*AB23</f>
        <v>87.5</v>
      </c>
      <c r="G23" s="66">
        <f>E23*1.5</f>
        <v>52.965000000000003</v>
      </c>
      <c r="H23" s="16">
        <f>E23*1.5</f>
        <v>52.965000000000003</v>
      </c>
      <c r="I23" s="16">
        <f>E23*2</f>
        <v>70.62</v>
      </c>
      <c r="J23" s="16">
        <f t="shared" ref="J23" si="19">E23</f>
        <v>35.31</v>
      </c>
      <c r="K23" s="66"/>
      <c r="L23" s="16">
        <f t="shared" ref="L23" si="20">J23*K23</f>
        <v>0</v>
      </c>
      <c r="M23" s="66"/>
      <c r="N23" s="66">
        <v>9</v>
      </c>
      <c r="O23" s="66">
        <v>5</v>
      </c>
      <c r="P23" s="16"/>
      <c r="Q23" s="7">
        <f>Q11</f>
        <v>20</v>
      </c>
      <c r="R23" s="7">
        <f>R11</f>
        <v>18.307857142857141</v>
      </c>
      <c r="S23" s="16">
        <f>Z2</f>
        <v>0</v>
      </c>
      <c r="T23" s="16">
        <f>(E23*F23)+(G23*M23)+(H23*N23)+(I23*O23)-P23-Q23-R23+S23+L23</f>
        <v>3881.1021428571426</v>
      </c>
      <c r="U23" s="188" t="s">
        <v>36</v>
      </c>
      <c r="V23" s="212">
        <v>1520490826</v>
      </c>
      <c r="W23" s="190">
        <f>T23+R23+Q23+P23</f>
        <v>3919.41</v>
      </c>
      <c r="X23" s="192">
        <f>E23*8.75</f>
        <v>308.96250000000003</v>
      </c>
      <c r="Y23" s="186"/>
      <c r="Z23" s="184">
        <v>5</v>
      </c>
      <c r="AA23" s="184">
        <v>5</v>
      </c>
      <c r="AB23" s="196">
        <f t="shared" si="5"/>
        <v>10</v>
      </c>
      <c r="AC23" s="190">
        <v>8.75</v>
      </c>
      <c r="AD23" s="194" t="str">
        <f>C23</f>
        <v>DUMISANI ERNEST MASANGO</v>
      </c>
    </row>
    <row r="24" spans="1:30" ht="15" x14ac:dyDescent="0.2">
      <c r="A24" s="209" t="s">
        <v>34</v>
      </c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1"/>
      <c r="T24" s="16">
        <f>X2</f>
        <v>500</v>
      </c>
      <c r="U24" s="189"/>
      <c r="V24" s="213"/>
      <c r="W24" s="191"/>
      <c r="X24" s="193"/>
      <c r="Y24" s="187"/>
      <c r="Z24" s="185"/>
      <c r="AA24" s="185"/>
      <c r="AB24" s="197">
        <f t="shared" si="5"/>
        <v>0</v>
      </c>
      <c r="AC24" s="191"/>
      <c r="AD24" s="195"/>
    </row>
    <row r="25" spans="1:30" ht="15" x14ac:dyDescent="0.25">
      <c r="A25" s="49">
        <v>14</v>
      </c>
      <c r="B25" s="49">
        <v>354</v>
      </c>
      <c r="C25" s="8" t="s">
        <v>43</v>
      </c>
      <c r="D25" s="8" t="s">
        <v>44</v>
      </c>
      <c r="E25" s="17">
        <v>40</v>
      </c>
      <c r="F25" s="66">
        <f t="shared" si="17"/>
        <v>87.5</v>
      </c>
      <c r="G25" s="66">
        <f>E25*1.5</f>
        <v>60</v>
      </c>
      <c r="H25" s="16">
        <f>E25*1.5</f>
        <v>60</v>
      </c>
      <c r="I25" s="16">
        <f>E25*2</f>
        <v>80</v>
      </c>
      <c r="J25" s="16">
        <f t="shared" ref="J25:J26" si="21">E25</f>
        <v>40</v>
      </c>
      <c r="K25" s="66"/>
      <c r="L25" s="16">
        <f t="shared" ref="L25:L26" si="22">J25*K25</f>
        <v>0</v>
      </c>
      <c r="M25" s="66"/>
      <c r="N25" s="66"/>
      <c r="O25" s="66"/>
      <c r="P25" s="16"/>
      <c r="Q25" s="7">
        <f>Q11</f>
        <v>20</v>
      </c>
      <c r="R25" s="7">
        <f>R11</f>
        <v>18.307857142857141</v>
      </c>
      <c r="S25" s="16"/>
      <c r="T25" s="16">
        <f>(E25*F25)+(G25*M25)+(H25*N25)+(I25*O25)-P25-Q25-R25+S25+L25</f>
        <v>3461.6921428571427</v>
      </c>
      <c r="U25" s="8" t="s">
        <v>33</v>
      </c>
      <c r="V25" s="153">
        <v>1282281887</v>
      </c>
      <c r="W25" s="62">
        <f>T25+R25+Q25+P25</f>
        <v>3500</v>
      </c>
      <c r="X25" s="17">
        <f>E25*8.75</f>
        <v>350</v>
      </c>
      <c r="Y25" s="68"/>
      <c r="Z25" s="161">
        <v>5</v>
      </c>
      <c r="AA25" s="161">
        <v>5</v>
      </c>
      <c r="AB25" s="65">
        <f t="shared" si="5"/>
        <v>10</v>
      </c>
      <c r="AC25" s="62">
        <v>8.75</v>
      </c>
      <c r="AD25" s="8" t="str">
        <f>C25</f>
        <v>ELVIS NSIMBINI</v>
      </c>
    </row>
    <row r="26" spans="1:30" ht="15" x14ac:dyDescent="0.2">
      <c r="A26" s="49">
        <v>15</v>
      </c>
      <c r="B26" s="49">
        <v>109</v>
      </c>
      <c r="C26" s="8" t="s">
        <v>46</v>
      </c>
      <c r="D26" s="8" t="s">
        <v>39</v>
      </c>
      <c r="E26" s="17">
        <v>44.94</v>
      </c>
      <c r="F26" s="66">
        <f>AC26*AB26</f>
        <v>87.5</v>
      </c>
      <c r="G26" s="66">
        <f>E26*1.5</f>
        <v>67.41</v>
      </c>
      <c r="H26" s="16">
        <f>E26*1.5</f>
        <v>67.41</v>
      </c>
      <c r="I26" s="16">
        <f>E26*2</f>
        <v>89.88</v>
      </c>
      <c r="J26" s="16">
        <f t="shared" si="21"/>
        <v>44.94</v>
      </c>
      <c r="K26" s="66"/>
      <c r="L26" s="16">
        <f t="shared" si="22"/>
        <v>0</v>
      </c>
      <c r="M26" s="66"/>
      <c r="N26" s="66"/>
      <c r="O26" s="66">
        <v>5</v>
      </c>
      <c r="P26" s="16"/>
      <c r="Q26" s="16"/>
      <c r="R26" s="16"/>
      <c r="S26" s="16">
        <f>Z2</f>
        <v>0</v>
      </c>
      <c r="T26" s="16">
        <f>(E26*F26)+(G26*M26)+(H26*N26)+(I26*O26)-P26-Q26-R26+S26+L26</f>
        <v>4381.6499999999996</v>
      </c>
      <c r="U26" s="188" t="s">
        <v>33</v>
      </c>
      <c r="V26" s="212"/>
      <c r="W26" s="190">
        <f>T26+R26+Q26+P26</f>
        <v>4381.6499999999996</v>
      </c>
      <c r="X26" s="192">
        <f>E26*8.75</f>
        <v>393.22499999999997</v>
      </c>
      <c r="Y26" s="186"/>
      <c r="Z26" s="184">
        <v>5</v>
      </c>
      <c r="AA26" s="184">
        <v>5</v>
      </c>
      <c r="AB26" s="196">
        <f t="shared" si="5"/>
        <v>10</v>
      </c>
      <c r="AC26" s="190">
        <v>8.75</v>
      </c>
      <c r="AD26" s="188" t="str">
        <f>C26</f>
        <v xml:space="preserve">GIBBS MASETE </v>
      </c>
    </row>
    <row r="27" spans="1:30" ht="15" x14ac:dyDescent="0.2">
      <c r="A27" s="209" t="s">
        <v>34</v>
      </c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1"/>
      <c r="T27" s="16">
        <f>X2</f>
        <v>500</v>
      </c>
      <c r="U27" s="189"/>
      <c r="V27" s="213"/>
      <c r="W27" s="191"/>
      <c r="X27" s="193"/>
      <c r="Y27" s="187"/>
      <c r="Z27" s="185"/>
      <c r="AA27" s="185"/>
      <c r="AB27" s="197">
        <f t="shared" si="5"/>
        <v>0</v>
      </c>
      <c r="AC27" s="191"/>
      <c r="AD27" s="189"/>
    </row>
    <row r="28" spans="1:30" ht="15" x14ac:dyDescent="0.25">
      <c r="A28" s="6">
        <v>16</v>
      </c>
      <c r="B28" s="6">
        <v>460</v>
      </c>
      <c r="C28" s="118" t="s">
        <v>133</v>
      </c>
      <c r="D28" s="8" t="s">
        <v>32</v>
      </c>
      <c r="E28" s="17">
        <v>30.23</v>
      </c>
      <c r="F28" s="66">
        <f>AC28*AB28+3.5</f>
        <v>91</v>
      </c>
      <c r="G28" s="66">
        <f>E28*1.5</f>
        <v>45.344999999999999</v>
      </c>
      <c r="H28" s="16">
        <f>E28*1.5</f>
        <v>45.344999999999999</v>
      </c>
      <c r="I28" s="16">
        <f>E28*2</f>
        <v>60.46</v>
      </c>
      <c r="J28" s="16">
        <f>E28</f>
        <v>30.23</v>
      </c>
      <c r="K28" s="66"/>
      <c r="L28" s="16">
        <f>J28*K28</f>
        <v>0</v>
      </c>
      <c r="M28" s="66"/>
      <c r="N28" s="66">
        <f>7+9.5</f>
        <v>16.5</v>
      </c>
      <c r="O28" s="72">
        <v>5</v>
      </c>
      <c r="P28" s="16"/>
      <c r="Q28" s="22">
        <f>Q11</f>
        <v>20</v>
      </c>
      <c r="R28" s="22">
        <f>R11</f>
        <v>18.307857142857141</v>
      </c>
      <c r="S28" s="16"/>
      <c r="T28" s="16">
        <f>(E28*F28)+(G28*M28)+(H28*N28)+(I28*O28)-P28-Q28-R28+S28+L28</f>
        <v>3763.1146428571428</v>
      </c>
      <c r="U28" s="112" t="s">
        <v>36</v>
      </c>
      <c r="V28" s="109">
        <v>2207944634</v>
      </c>
      <c r="W28" s="62">
        <f>T28+R28+Q28+P28</f>
        <v>3801.4225000000001</v>
      </c>
      <c r="X28" s="16">
        <f>E28*8.75</f>
        <v>264.51249999999999</v>
      </c>
      <c r="Y28" s="68"/>
      <c r="Z28" s="161">
        <v>5</v>
      </c>
      <c r="AA28" s="161">
        <v>5</v>
      </c>
      <c r="AB28" s="65">
        <f>Y28+Z28+AA28</f>
        <v>10</v>
      </c>
      <c r="AC28" s="62">
        <v>8.75</v>
      </c>
      <c r="AD28" s="8" t="str">
        <f>C28</f>
        <v>HERIS MTHOMBENI</v>
      </c>
    </row>
    <row r="29" spans="1:30" ht="15" x14ac:dyDescent="0.25">
      <c r="A29" s="6">
        <v>17</v>
      </c>
      <c r="B29" s="6">
        <v>399</v>
      </c>
      <c r="C29" s="8" t="s">
        <v>47</v>
      </c>
      <c r="D29" s="8"/>
      <c r="E29" s="17">
        <v>35.31</v>
      </c>
      <c r="F29" s="66">
        <f>AC29*AB29+3.5</f>
        <v>91</v>
      </c>
      <c r="G29" s="66">
        <f t="shared" ref="G29:G51" si="23">E29*1.5</f>
        <v>52.965000000000003</v>
      </c>
      <c r="H29" s="16">
        <f t="shared" ref="H29:H51" si="24">E29*1.5</f>
        <v>52.965000000000003</v>
      </c>
      <c r="I29" s="16">
        <f t="shared" ref="I29:I51" si="25">E29*2</f>
        <v>70.62</v>
      </c>
      <c r="J29" s="16">
        <f t="shared" ref="J29:J36" si="26">E29</f>
        <v>35.31</v>
      </c>
      <c r="K29" s="66"/>
      <c r="L29" s="16">
        <f t="shared" ref="L29:L36" si="27">J29*K29</f>
        <v>0</v>
      </c>
      <c r="M29" s="66"/>
      <c r="N29" s="66">
        <f>7+9</f>
        <v>16</v>
      </c>
      <c r="O29" s="66">
        <v>5</v>
      </c>
      <c r="P29" s="16"/>
      <c r="Q29" s="7"/>
      <c r="R29" s="7"/>
      <c r="S29" s="16">
        <f>Z2</f>
        <v>0</v>
      </c>
      <c r="T29" s="16">
        <f t="shared" ref="T29:T36" si="28">(E29*F29)+(G29*M29)+(H29*N29)+(I29*O29)-P29-Q29-R29+S29+L29</f>
        <v>4413.75</v>
      </c>
      <c r="U29" s="8" t="s">
        <v>33</v>
      </c>
      <c r="V29" s="109">
        <v>1337292311</v>
      </c>
      <c r="W29" s="62">
        <f t="shared" ref="W29:W51" si="29">T29+R29+Q29+P29</f>
        <v>4413.75</v>
      </c>
      <c r="X29" s="16">
        <f t="shared" ref="X29:X36" si="30">E29*8.75</f>
        <v>308.96250000000003</v>
      </c>
      <c r="Y29" s="68"/>
      <c r="Z29" s="161">
        <v>5</v>
      </c>
      <c r="AA29" s="161">
        <v>5</v>
      </c>
      <c r="AB29" s="65">
        <f t="shared" si="5"/>
        <v>10</v>
      </c>
      <c r="AC29" s="62">
        <v>8.75</v>
      </c>
      <c r="AD29" s="50" t="str">
        <f t="shared" ref="AD29:AD36" si="31">C29</f>
        <v>HERMAN NGIDI</v>
      </c>
    </row>
    <row r="30" spans="1:30" ht="15" x14ac:dyDescent="0.25">
      <c r="A30" s="6">
        <v>18</v>
      </c>
      <c r="B30" s="6">
        <v>389</v>
      </c>
      <c r="C30" s="8" t="s">
        <v>48</v>
      </c>
      <c r="D30" s="8" t="s">
        <v>44</v>
      </c>
      <c r="E30" s="17">
        <v>40</v>
      </c>
      <c r="F30" s="66">
        <f t="shared" ref="F30:F36" si="32">AC30*AB30</f>
        <v>87.5</v>
      </c>
      <c r="G30" s="66">
        <f t="shared" si="23"/>
        <v>60</v>
      </c>
      <c r="H30" s="16">
        <f t="shared" si="24"/>
        <v>60</v>
      </c>
      <c r="I30" s="16">
        <f t="shared" si="25"/>
        <v>80</v>
      </c>
      <c r="J30" s="16">
        <f t="shared" si="26"/>
        <v>40</v>
      </c>
      <c r="K30" s="66"/>
      <c r="L30" s="16">
        <f t="shared" si="27"/>
        <v>0</v>
      </c>
      <c r="M30" s="66"/>
      <c r="N30" s="66">
        <v>7</v>
      </c>
      <c r="O30" s="66"/>
      <c r="P30" s="16"/>
      <c r="Q30" s="7"/>
      <c r="R30" s="7"/>
      <c r="S30" s="16"/>
      <c r="T30" s="16">
        <f t="shared" si="28"/>
        <v>3920</v>
      </c>
      <c r="U30" s="8" t="s">
        <v>58</v>
      </c>
      <c r="V30" s="109">
        <v>51120572755</v>
      </c>
      <c r="W30" s="62">
        <f t="shared" si="29"/>
        <v>3920</v>
      </c>
      <c r="X30" s="16">
        <f t="shared" si="30"/>
        <v>350</v>
      </c>
      <c r="Y30" s="68"/>
      <c r="Z30" s="161">
        <v>5</v>
      </c>
      <c r="AA30" s="161">
        <v>5</v>
      </c>
      <c r="AB30" s="65">
        <f t="shared" si="5"/>
        <v>10</v>
      </c>
      <c r="AC30" s="62">
        <v>8.75</v>
      </c>
      <c r="AD30" s="69" t="str">
        <f t="shared" si="31"/>
        <v>JACK WALTER MOICHELO</v>
      </c>
    </row>
    <row r="31" spans="1:30" ht="15" x14ac:dyDescent="0.25">
      <c r="A31" s="6">
        <v>19</v>
      </c>
      <c r="B31" s="6">
        <v>439</v>
      </c>
      <c r="C31" s="8" t="s">
        <v>49</v>
      </c>
      <c r="D31" s="8" t="s">
        <v>50</v>
      </c>
      <c r="E31" s="17">
        <v>33</v>
      </c>
      <c r="F31" s="66">
        <f t="shared" si="32"/>
        <v>87.5</v>
      </c>
      <c r="G31" s="66">
        <f t="shared" si="23"/>
        <v>49.5</v>
      </c>
      <c r="H31" s="16">
        <f t="shared" si="24"/>
        <v>49.5</v>
      </c>
      <c r="I31" s="16">
        <f t="shared" si="25"/>
        <v>66</v>
      </c>
      <c r="J31" s="16">
        <f t="shared" si="26"/>
        <v>33</v>
      </c>
      <c r="K31" s="66"/>
      <c r="L31" s="16">
        <f t="shared" si="27"/>
        <v>0</v>
      </c>
      <c r="M31" s="66"/>
      <c r="N31" s="66">
        <f>7+9</f>
        <v>16</v>
      </c>
      <c r="O31" s="66">
        <v>5</v>
      </c>
      <c r="P31" s="16"/>
      <c r="Q31" s="7"/>
      <c r="R31" s="7"/>
      <c r="S31" s="16">
        <f>Z2</f>
        <v>0</v>
      </c>
      <c r="T31" s="16">
        <f t="shared" si="28"/>
        <v>4009.5</v>
      </c>
      <c r="U31" s="8" t="s">
        <v>33</v>
      </c>
      <c r="V31" s="109">
        <v>1315457768</v>
      </c>
      <c r="W31" s="62">
        <f t="shared" si="29"/>
        <v>4009.5</v>
      </c>
      <c r="X31" s="16">
        <f t="shared" si="30"/>
        <v>288.75</v>
      </c>
      <c r="Y31" s="68"/>
      <c r="Z31" s="161">
        <v>5</v>
      </c>
      <c r="AA31" s="161">
        <v>5</v>
      </c>
      <c r="AB31" s="65">
        <f t="shared" si="5"/>
        <v>10</v>
      </c>
      <c r="AC31" s="62">
        <v>8.75</v>
      </c>
      <c r="AD31" s="69" t="str">
        <f t="shared" si="31"/>
        <v>JANUARY SITOE</v>
      </c>
    </row>
    <row r="32" spans="1:30" ht="15" x14ac:dyDescent="0.25">
      <c r="A32" s="6">
        <v>20</v>
      </c>
      <c r="B32" s="6">
        <v>461</v>
      </c>
      <c r="C32" s="8" t="s">
        <v>134</v>
      </c>
      <c r="D32" s="8"/>
      <c r="E32" s="17">
        <v>40</v>
      </c>
      <c r="F32" s="66">
        <f t="shared" si="32"/>
        <v>84.5</v>
      </c>
      <c r="G32" s="66">
        <f t="shared" si="23"/>
        <v>60</v>
      </c>
      <c r="H32" s="16">
        <f t="shared" si="24"/>
        <v>60</v>
      </c>
      <c r="I32" s="16">
        <f t="shared" si="25"/>
        <v>80</v>
      </c>
      <c r="J32" s="16">
        <f t="shared" si="26"/>
        <v>40</v>
      </c>
      <c r="K32" s="66"/>
      <c r="L32" s="16">
        <f t="shared" si="27"/>
        <v>0</v>
      </c>
      <c r="M32" s="66"/>
      <c r="N32" s="66">
        <v>9.5</v>
      </c>
      <c r="O32" s="66">
        <v>5</v>
      </c>
      <c r="P32" s="16"/>
      <c r="Q32" s="7">
        <f>Q11</f>
        <v>20</v>
      </c>
      <c r="R32" s="7">
        <f>R11</f>
        <v>18.307857142857141</v>
      </c>
      <c r="S32" s="16"/>
      <c r="T32" s="16">
        <f t="shared" si="28"/>
        <v>4311.6921428571432</v>
      </c>
      <c r="U32" s="8" t="s">
        <v>40</v>
      </c>
      <c r="V32" s="109">
        <v>62937755140</v>
      </c>
      <c r="W32" s="62">
        <f t="shared" ref="W32" si="33">T32+R32+Q32+P32</f>
        <v>4350</v>
      </c>
      <c r="X32" s="16">
        <f t="shared" si="30"/>
        <v>350</v>
      </c>
      <c r="Y32" s="68"/>
      <c r="Z32" s="161">
        <v>5</v>
      </c>
      <c r="AA32" s="161">
        <v>5</v>
      </c>
      <c r="AB32" s="65">
        <f t="shared" si="5"/>
        <v>10</v>
      </c>
      <c r="AC32" s="62">
        <v>8.4499999999999993</v>
      </c>
      <c r="AD32" s="69" t="str">
        <f t="shared" si="31"/>
        <v>JOHANNES MTHOMBENI</v>
      </c>
    </row>
    <row r="33" spans="1:30" ht="15" x14ac:dyDescent="0.25">
      <c r="A33" s="6">
        <v>21</v>
      </c>
      <c r="B33" s="6">
        <v>443</v>
      </c>
      <c r="C33" s="8" t="s">
        <v>51</v>
      </c>
      <c r="D33" s="8" t="s">
        <v>50</v>
      </c>
      <c r="E33" s="17">
        <v>38.76</v>
      </c>
      <c r="F33" s="66">
        <f t="shared" si="32"/>
        <v>87.5</v>
      </c>
      <c r="G33" s="66">
        <f t="shared" si="23"/>
        <v>58.14</v>
      </c>
      <c r="H33" s="16">
        <f t="shared" si="24"/>
        <v>58.14</v>
      </c>
      <c r="I33" s="16">
        <f t="shared" si="25"/>
        <v>77.52</v>
      </c>
      <c r="J33" s="16">
        <f t="shared" si="26"/>
        <v>38.76</v>
      </c>
      <c r="K33" s="66"/>
      <c r="L33" s="16">
        <f t="shared" si="27"/>
        <v>0</v>
      </c>
      <c r="M33" s="66"/>
      <c r="N33" s="66">
        <v>14</v>
      </c>
      <c r="O33" s="66">
        <v>5</v>
      </c>
      <c r="P33" s="16"/>
      <c r="Q33" s="7"/>
      <c r="R33" s="7"/>
      <c r="S33" s="16"/>
      <c r="T33" s="16">
        <f t="shared" si="28"/>
        <v>4593.0600000000004</v>
      </c>
      <c r="U33" s="8" t="s">
        <v>33</v>
      </c>
      <c r="V33" s="109">
        <v>1335620273</v>
      </c>
      <c r="W33" s="62">
        <f t="shared" si="29"/>
        <v>4593.0600000000004</v>
      </c>
      <c r="X33" s="16">
        <f t="shared" si="30"/>
        <v>339.15</v>
      </c>
      <c r="Y33" s="68"/>
      <c r="Z33" s="161">
        <v>5</v>
      </c>
      <c r="AA33" s="161">
        <v>5</v>
      </c>
      <c r="AB33" s="65">
        <f t="shared" si="5"/>
        <v>10</v>
      </c>
      <c r="AC33" s="62">
        <v>8.75</v>
      </c>
      <c r="AD33" s="69" t="str">
        <f t="shared" si="31"/>
        <v>JOHANNES SEGAFA</v>
      </c>
    </row>
    <row r="34" spans="1:30" ht="15" x14ac:dyDescent="0.25">
      <c r="A34" s="6">
        <v>22</v>
      </c>
      <c r="B34" s="137">
        <v>471</v>
      </c>
      <c r="C34" s="139" t="s">
        <v>156</v>
      </c>
      <c r="D34" s="125"/>
      <c r="E34" s="17">
        <v>30.23</v>
      </c>
      <c r="F34" s="66">
        <f t="shared" si="32"/>
        <v>78.75</v>
      </c>
      <c r="G34" s="66">
        <f t="shared" ref="G34" si="34">E34*1.5</f>
        <v>45.344999999999999</v>
      </c>
      <c r="H34" s="16">
        <f t="shared" ref="H34" si="35">E34*1.5</f>
        <v>45.344999999999999</v>
      </c>
      <c r="I34" s="16">
        <f t="shared" ref="I34" si="36">E34*2</f>
        <v>60.46</v>
      </c>
      <c r="J34" s="16">
        <f t="shared" ref="J34" si="37">E34</f>
        <v>30.23</v>
      </c>
      <c r="K34" s="66"/>
      <c r="L34" s="16">
        <f t="shared" ref="L34" si="38">J34*K34</f>
        <v>0</v>
      </c>
      <c r="M34" s="66"/>
      <c r="N34" s="66">
        <f>7+9</f>
        <v>16</v>
      </c>
      <c r="O34" s="66"/>
      <c r="P34" s="16"/>
      <c r="Q34" s="7"/>
      <c r="R34" s="7"/>
      <c r="S34" s="16">
        <f>Z2</f>
        <v>0</v>
      </c>
      <c r="T34" s="16">
        <f t="shared" si="28"/>
        <v>3106.1325000000002</v>
      </c>
      <c r="U34" s="8" t="s">
        <v>58</v>
      </c>
      <c r="V34" s="109">
        <v>51033035205</v>
      </c>
      <c r="W34" s="62">
        <f>T34+R34+Q34+P34</f>
        <v>3106.1325000000002</v>
      </c>
      <c r="X34" s="16">
        <f t="shared" si="30"/>
        <v>264.51249999999999</v>
      </c>
      <c r="Y34" s="68">
        <v>-1</v>
      </c>
      <c r="Z34" s="161">
        <v>5</v>
      </c>
      <c r="AA34" s="161">
        <v>5</v>
      </c>
      <c r="AB34" s="65">
        <f t="shared" si="5"/>
        <v>9</v>
      </c>
      <c r="AC34" s="62">
        <v>8.75</v>
      </c>
      <c r="AD34" s="69" t="str">
        <f t="shared" si="31"/>
        <v>KHASHANE FRANS MABETWA</v>
      </c>
    </row>
    <row r="35" spans="1:30" ht="15" x14ac:dyDescent="0.25">
      <c r="A35" s="6">
        <v>23</v>
      </c>
      <c r="B35" s="6">
        <v>447</v>
      </c>
      <c r="C35" s="8" t="s">
        <v>89</v>
      </c>
      <c r="D35" s="8" t="s">
        <v>50</v>
      </c>
      <c r="E35" s="17">
        <v>31.42</v>
      </c>
      <c r="F35" s="66">
        <f t="shared" si="32"/>
        <v>87.5</v>
      </c>
      <c r="G35" s="66">
        <f t="shared" si="23"/>
        <v>47.13</v>
      </c>
      <c r="H35" s="16">
        <f t="shared" si="24"/>
        <v>47.13</v>
      </c>
      <c r="I35" s="16">
        <f t="shared" si="25"/>
        <v>62.84</v>
      </c>
      <c r="J35" s="16">
        <f t="shared" si="26"/>
        <v>31.42</v>
      </c>
      <c r="K35" s="66"/>
      <c r="L35" s="16">
        <f t="shared" si="27"/>
        <v>0</v>
      </c>
      <c r="M35" s="66"/>
      <c r="N35" s="66">
        <v>9.5</v>
      </c>
      <c r="O35" s="66">
        <v>5</v>
      </c>
      <c r="P35" s="16"/>
      <c r="Q35" s="7"/>
      <c r="R35" s="7"/>
      <c r="S35" s="16">
        <v>0</v>
      </c>
      <c r="T35" s="16">
        <f t="shared" si="28"/>
        <v>3511.1850000000004</v>
      </c>
      <c r="U35" s="8" t="s">
        <v>33</v>
      </c>
      <c r="V35" s="109">
        <v>1493048902</v>
      </c>
      <c r="W35" s="62">
        <f>T35+R35+Q35+P35</f>
        <v>3511.1850000000004</v>
      </c>
      <c r="X35" s="16">
        <f t="shared" si="30"/>
        <v>274.92500000000001</v>
      </c>
      <c r="Y35" s="68"/>
      <c r="Z35" s="161">
        <v>5</v>
      </c>
      <c r="AA35" s="161">
        <v>5</v>
      </c>
      <c r="AB35" s="65">
        <f t="shared" si="5"/>
        <v>10</v>
      </c>
      <c r="AC35" s="62">
        <v>8.75</v>
      </c>
      <c r="AD35" s="69" t="str">
        <f t="shared" si="31"/>
        <v>LIVINSTONE MALONGANE</v>
      </c>
    </row>
    <row r="36" spans="1:30" ht="15" x14ac:dyDescent="0.25">
      <c r="A36" s="6">
        <v>24</v>
      </c>
      <c r="B36" s="6">
        <v>334</v>
      </c>
      <c r="C36" s="8" t="s">
        <v>53</v>
      </c>
      <c r="D36" s="8" t="s">
        <v>39</v>
      </c>
      <c r="E36" s="17">
        <v>42</v>
      </c>
      <c r="F36" s="66">
        <f t="shared" si="32"/>
        <v>87.5</v>
      </c>
      <c r="G36" s="66">
        <f t="shared" si="23"/>
        <v>63</v>
      </c>
      <c r="H36" s="16">
        <f t="shared" si="24"/>
        <v>63</v>
      </c>
      <c r="I36" s="16">
        <f t="shared" si="25"/>
        <v>84</v>
      </c>
      <c r="J36" s="16">
        <f t="shared" si="26"/>
        <v>42</v>
      </c>
      <c r="K36" s="66"/>
      <c r="L36" s="16">
        <f t="shared" si="27"/>
        <v>0</v>
      </c>
      <c r="M36" s="66"/>
      <c r="N36" s="66"/>
      <c r="O36" s="66"/>
      <c r="P36" s="16"/>
      <c r="Q36" s="22"/>
      <c r="R36" s="22"/>
      <c r="S36" s="16">
        <f>Z2</f>
        <v>0</v>
      </c>
      <c r="T36" s="16">
        <f t="shared" si="28"/>
        <v>3675</v>
      </c>
      <c r="U36" s="188" t="s">
        <v>36</v>
      </c>
      <c r="V36" s="212">
        <v>1553059830</v>
      </c>
      <c r="W36" s="190">
        <f t="shared" si="29"/>
        <v>3675</v>
      </c>
      <c r="X36" s="192">
        <f t="shared" si="30"/>
        <v>367.5</v>
      </c>
      <c r="Y36" s="186"/>
      <c r="Z36" s="184">
        <v>5</v>
      </c>
      <c r="AA36" s="184">
        <v>5</v>
      </c>
      <c r="AB36" s="196">
        <f t="shared" si="5"/>
        <v>10</v>
      </c>
      <c r="AC36" s="190">
        <v>8.75</v>
      </c>
      <c r="AD36" s="188" t="str">
        <f t="shared" si="31"/>
        <v>LUCKY MAKUBULE</v>
      </c>
    </row>
    <row r="37" spans="1:30" ht="15" x14ac:dyDescent="0.2">
      <c r="A37" s="209" t="s">
        <v>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1"/>
      <c r="T37" s="16">
        <f>X2</f>
        <v>500</v>
      </c>
      <c r="U37" s="189"/>
      <c r="V37" s="213"/>
      <c r="W37" s="191"/>
      <c r="X37" s="193"/>
      <c r="Y37" s="187"/>
      <c r="Z37" s="185"/>
      <c r="AA37" s="185"/>
      <c r="AB37" s="197">
        <f t="shared" si="5"/>
        <v>0</v>
      </c>
      <c r="AC37" s="191"/>
      <c r="AD37" s="189"/>
    </row>
    <row r="38" spans="1:30" ht="15" x14ac:dyDescent="0.25">
      <c r="A38" s="6">
        <v>25</v>
      </c>
      <c r="B38" s="6">
        <v>462</v>
      </c>
      <c r="C38" s="8" t="s">
        <v>131</v>
      </c>
      <c r="D38" s="8"/>
      <c r="E38" s="17">
        <v>40</v>
      </c>
      <c r="F38" s="66">
        <f>AC38*AB38</f>
        <v>87.5</v>
      </c>
      <c r="G38" s="66">
        <f t="shared" si="23"/>
        <v>60</v>
      </c>
      <c r="H38" s="16">
        <f t="shared" si="24"/>
        <v>60</v>
      </c>
      <c r="I38" s="16">
        <f t="shared" si="25"/>
        <v>80</v>
      </c>
      <c r="J38" s="16">
        <f t="shared" ref="J38:J51" si="39">E38</f>
        <v>40</v>
      </c>
      <c r="K38" s="66"/>
      <c r="L38" s="16">
        <f t="shared" ref="L38:L50" si="40">J38*K38</f>
        <v>0</v>
      </c>
      <c r="M38" s="66"/>
      <c r="N38" s="66">
        <v>7.5</v>
      </c>
      <c r="O38" s="66">
        <v>5</v>
      </c>
      <c r="P38" s="16"/>
      <c r="Q38" s="7"/>
      <c r="R38" s="7"/>
      <c r="S38" s="16"/>
      <c r="T38" s="16">
        <f t="shared" ref="T38:T51" si="41">(E38*F38)+(G38*M38)+(H38*N38)+(I38*O38)-P38-Q38-R38+S38+L38</f>
        <v>4350</v>
      </c>
      <c r="U38" s="8" t="s">
        <v>36</v>
      </c>
      <c r="V38" s="109">
        <v>1425811505</v>
      </c>
      <c r="W38" s="62">
        <f t="shared" ref="W38" si="42">T38+R38+Q38+P38</f>
        <v>4350</v>
      </c>
      <c r="X38" s="16">
        <f t="shared" ref="X38:X51" si="43">E38*8.75</f>
        <v>350</v>
      </c>
      <c r="Y38" s="68"/>
      <c r="Z38" s="161">
        <v>5</v>
      </c>
      <c r="AA38" s="161">
        <v>5</v>
      </c>
      <c r="AB38" s="65">
        <f t="shared" si="5"/>
        <v>10</v>
      </c>
      <c r="AC38" s="62">
        <v>8.75</v>
      </c>
      <c r="AD38" s="69" t="str">
        <f t="shared" ref="AD38:AD51" si="44">C38</f>
        <v>LUCKY PYUNGU</v>
      </c>
    </row>
    <row r="39" spans="1:30" ht="15" x14ac:dyDescent="0.25">
      <c r="A39" s="6">
        <v>26</v>
      </c>
      <c r="B39" s="6">
        <v>108</v>
      </c>
      <c r="C39" s="8" t="s">
        <v>54</v>
      </c>
      <c r="D39" s="8" t="s">
        <v>55</v>
      </c>
      <c r="E39" s="17">
        <v>31.42</v>
      </c>
      <c r="F39" s="66">
        <f t="shared" si="17"/>
        <v>87.5</v>
      </c>
      <c r="G39" s="66">
        <f t="shared" si="23"/>
        <v>47.13</v>
      </c>
      <c r="H39" s="16">
        <f t="shared" si="24"/>
        <v>47.13</v>
      </c>
      <c r="I39" s="16">
        <f t="shared" si="25"/>
        <v>62.84</v>
      </c>
      <c r="J39" s="16">
        <f t="shared" si="39"/>
        <v>31.42</v>
      </c>
      <c r="K39" s="66"/>
      <c r="L39" s="16">
        <f t="shared" si="40"/>
        <v>0</v>
      </c>
      <c r="M39" s="66"/>
      <c r="N39" s="66">
        <v>9.5</v>
      </c>
      <c r="O39" s="66">
        <v>5</v>
      </c>
      <c r="P39" s="16"/>
      <c r="Q39" s="7">
        <f>Q11</f>
        <v>20</v>
      </c>
      <c r="R39" s="7">
        <f>R11</f>
        <v>18.307857142857141</v>
      </c>
      <c r="S39" s="16"/>
      <c r="T39" s="16">
        <f t="shared" si="41"/>
        <v>3472.8771428571431</v>
      </c>
      <c r="U39" s="21" t="s">
        <v>36</v>
      </c>
      <c r="V39" s="109">
        <v>1501502342</v>
      </c>
      <c r="W39" s="62">
        <f t="shared" si="29"/>
        <v>3511.1850000000004</v>
      </c>
      <c r="X39" s="17">
        <f t="shared" si="43"/>
        <v>274.92500000000001</v>
      </c>
      <c r="Y39" s="68"/>
      <c r="Z39" s="161">
        <v>5</v>
      </c>
      <c r="AA39" s="161">
        <v>5</v>
      </c>
      <c r="AB39" s="65">
        <f t="shared" si="5"/>
        <v>10</v>
      </c>
      <c r="AC39" s="62">
        <v>8.75</v>
      </c>
      <c r="AD39" s="8" t="str">
        <f t="shared" si="44"/>
        <v>MAECA MAHLANGU</v>
      </c>
    </row>
    <row r="40" spans="1:30" ht="15" x14ac:dyDescent="0.25">
      <c r="A40" s="6">
        <v>27</v>
      </c>
      <c r="B40" s="6">
        <v>125</v>
      </c>
      <c r="C40" s="8" t="s">
        <v>56</v>
      </c>
      <c r="D40" s="8" t="s">
        <v>32</v>
      </c>
      <c r="E40" s="17">
        <v>38.159999999999997</v>
      </c>
      <c r="F40" s="66">
        <f t="shared" si="17"/>
        <v>78.75</v>
      </c>
      <c r="G40" s="66">
        <f t="shared" si="23"/>
        <v>57.239999999999995</v>
      </c>
      <c r="H40" s="16">
        <f t="shared" si="24"/>
        <v>57.239999999999995</v>
      </c>
      <c r="I40" s="16">
        <f t="shared" si="25"/>
        <v>76.319999999999993</v>
      </c>
      <c r="J40" s="16">
        <f t="shared" si="39"/>
        <v>38.159999999999997</v>
      </c>
      <c r="K40" s="66"/>
      <c r="L40" s="16">
        <f t="shared" si="40"/>
        <v>0</v>
      </c>
      <c r="M40" s="66"/>
      <c r="N40" s="66">
        <f>7+9</f>
        <v>16</v>
      </c>
      <c r="O40" s="66"/>
      <c r="P40" s="16"/>
      <c r="Q40" s="16"/>
      <c r="R40" s="16"/>
      <c r="S40" s="16">
        <f>Z2</f>
        <v>0</v>
      </c>
      <c r="T40" s="16">
        <f t="shared" si="41"/>
        <v>3920.9399999999996</v>
      </c>
      <c r="U40" s="8"/>
      <c r="V40" s="109"/>
      <c r="W40" s="62">
        <f t="shared" si="29"/>
        <v>3920.9399999999996</v>
      </c>
      <c r="X40" s="17">
        <f t="shared" si="43"/>
        <v>333.9</v>
      </c>
      <c r="Y40" s="68"/>
      <c r="Z40" s="161">
        <v>4</v>
      </c>
      <c r="AA40" s="161">
        <v>5</v>
      </c>
      <c r="AB40" s="65">
        <f t="shared" si="5"/>
        <v>9</v>
      </c>
      <c r="AC40" s="62">
        <v>8.75</v>
      </c>
      <c r="AD40" s="8" t="str">
        <f t="shared" si="44"/>
        <v xml:space="preserve">MANDLA NDLOVU </v>
      </c>
    </row>
    <row r="41" spans="1:30" ht="15" x14ac:dyDescent="0.25">
      <c r="A41" s="6">
        <v>28</v>
      </c>
      <c r="B41" s="48">
        <v>335</v>
      </c>
      <c r="C41" s="13" t="s">
        <v>57</v>
      </c>
      <c r="D41" s="13" t="s">
        <v>29</v>
      </c>
      <c r="E41" s="17">
        <v>31.42</v>
      </c>
      <c r="F41" s="66">
        <f>AC41*AB41</f>
        <v>87.5</v>
      </c>
      <c r="G41" s="66">
        <f t="shared" si="23"/>
        <v>47.13</v>
      </c>
      <c r="H41" s="16">
        <f t="shared" si="24"/>
        <v>47.13</v>
      </c>
      <c r="I41" s="16">
        <f t="shared" si="25"/>
        <v>62.84</v>
      </c>
      <c r="J41" s="16">
        <f t="shared" si="39"/>
        <v>31.42</v>
      </c>
      <c r="K41" s="66"/>
      <c r="L41" s="16">
        <f t="shared" si="40"/>
        <v>0</v>
      </c>
      <c r="M41" s="66"/>
      <c r="N41" s="66">
        <f>7+9</f>
        <v>16</v>
      </c>
      <c r="O41" s="66"/>
      <c r="P41" s="16"/>
      <c r="Q41" s="15"/>
      <c r="R41" s="15"/>
      <c r="S41" s="16">
        <f>Z2</f>
        <v>0</v>
      </c>
      <c r="T41" s="16">
        <f t="shared" si="41"/>
        <v>3503.33</v>
      </c>
      <c r="U41" s="13" t="s">
        <v>36</v>
      </c>
      <c r="V41" s="109">
        <v>2019496964</v>
      </c>
      <c r="W41" s="62">
        <f t="shared" si="29"/>
        <v>3503.33</v>
      </c>
      <c r="X41" s="16">
        <f t="shared" si="43"/>
        <v>274.92500000000001</v>
      </c>
      <c r="Y41" s="68"/>
      <c r="Z41" s="161">
        <v>5</v>
      </c>
      <c r="AA41" s="161">
        <v>5</v>
      </c>
      <c r="AB41" s="65">
        <f t="shared" si="5"/>
        <v>10</v>
      </c>
      <c r="AC41" s="62">
        <v>8.75</v>
      </c>
      <c r="AD41" s="8" t="str">
        <f t="shared" si="44"/>
        <v>MBONGENI SOKUDELA</v>
      </c>
    </row>
    <row r="42" spans="1:30" ht="15" x14ac:dyDescent="0.25">
      <c r="A42" s="6">
        <v>29</v>
      </c>
      <c r="B42" s="6">
        <v>463</v>
      </c>
      <c r="C42" s="8" t="s">
        <v>136</v>
      </c>
      <c r="D42" s="8"/>
      <c r="E42" s="17">
        <v>32.86</v>
      </c>
      <c r="F42" s="66">
        <f>AC42*AB42</f>
        <v>87.5</v>
      </c>
      <c r="G42" s="66">
        <f t="shared" si="23"/>
        <v>49.29</v>
      </c>
      <c r="H42" s="16">
        <f t="shared" si="24"/>
        <v>49.29</v>
      </c>
      <c r="I42" s="16">
        <f t="shared" si="25"/>
        <v>65.72</v>
      </c>
      <c r="J42" s="16">
        <f t="shared" si="39"/>
        <v>32.86</v>
      </c>
      <c r="K42" s="66"/>
      <c r="L42" s="16">
        <f t="shared" si="40"/>
        <v>0</v>
      </c>
      <c r="M42" s="66"/>
      <c r="N42" s="66">
        <v>14</v>
      </c>
      <c r="O42" s="66">
        <v>5</v>
      </c>
      <c r="P42" s="16"/>
      <c r="Q42" s="7"/>
      <c r="R42" s="7"/>
      <c r="S42" s="16"/>
      <c r="T42" s="16">
        <f t="shared" si="41"/>
        <v>3893.91</v>
      </c>
      <c r="U42" s="8" t="s">
        <v>58</v>
      </c>
      <c r="V42" s="109">
        <v>51088515606</v>
      </c>
      <c r="W42" s="62">
        <f>T42+R42+Q42+P42</f>
        <v>3893.91</v>
      </c>
      <c r="X42" s="16">
        <f t="shared" si="43"/>
        <v>287.52499999999998</v>
      </c>
      <c r="Y42" s="68"/>
      <c r="Z42" s="161">
        <v>5</v>
      </c>
      <c r="AA42" s="161">
        <v>5</v>
      </c>
      <c r="AB42" s="65">
        <f t="shared" si="5"/>
        <v>10</v>
      </c>
      <c r="AC42" s="62">
        <v>8.75</v>
      </c>
      <c r="AD42" s="69" t="str">
        <f t="shared" si="44"/>
        <v>MORRIES MALEPE</v>
      </c>
    </row>
    <row r="43" spans="1:30" ht="15" x14ac:dyDescent="0.25">
      <c r="A43" s="6">
        <v>30</v>
      </c>
      <c r="B43" s="6">
        <v>451</v>
      </c>
      <c r="C43" s="8" t="s">
        <v>90</v>
      </c>
      <c r="D43" s="8" t="s">
        <v>50</v>
      </c>
      <c r="E43" s="17">
        <v>30.23</v>
      </c>
      <c r="F43" s="66">
        <f>AC43*AB43</f>
        <v>87.5</v>
      </c>
      <c r="G43" s="66">
        <f t="shared" si="23"/>
        <v>45.344999999999999</v>
      </c>
      <c r="H43" s="16">
        <f t="shared" si="24"/>
        <v>45.344999999999999</v>
      </c>
      <c r="I43" s="16">
        <f t="shared" si="25"/>
        <v>60.46</v>
      </c>
      <c r="J43" s="16">
        <f t="shared" si="39"/>
        <v>30.23</v>
      </c>
      <c r="K43" s="66"/>
      <c r="L43" s="16">
        <f t="shared" si="40"/>
        <v>0</v>
      </c>
      <c r="M43" s="66"/>
      <c r="N43" s="66"/>
      <c r="O43" s="66"/>
      <c r="P43" s="16"/>
      <c r="Q43" s="7"/>
      <c r="R43" s="7"/>
      <c r="S43" s="16">
        <f>Z2</f>
        <v>0</v>
      </c>
      <c r="T43" s="16">
        <f t="shared" si="41"/>
        <v>2645.125</v>
      </c>
      <c r="U43" s="8" t="s">
        <v>36</v>
      </c>
      <c r="V43" s="109">
        <v>1450997099</v>
      </c>
      <c r="W43" s="62">
        <f>T43+R43+Q43+P43</f>
        <v>2645.125</v>
      </c>
      <c r="X43" s="16">
        <f t="shared" si="43"/>
        <v>264.51249999999999</v>
      </c>
      <c r="Y43" s="68"/>
      <c r="Z43" s="161">
        <v>5</v>
      </c>
      <c r="AA43" s="161">
        <v>5</v>
      </c>
      <c r="AB43" s="65">
        <f t="shared" si="5"/>
        <v>10</v>
      </c>
      <c r="AC43" s="62">
        <v>8.75</v>
      </c>
      <c r="AD43" s="69" t="str">
        <f t="shared" si="44"/>
        <v>MPHO MAKGOPO</v>
      </c>
    </row>
    <row r="44" spans="1:30" ht="15" x14ac:dyDescent="0.25">
      <c r="A44" s="6">
        <v>31</v>
      </c>
      <c r="B44" s="6">
        <v>385</v>
      </c>
      <c r="C44" s="8" t="s">
        <v>59</v>
      </c>
      <c r="D44" s="8" t="s">
        <v>29</v>
      </c>
      <c r="E44" s="17">
        <v>30.23</v>
      </c>
      <c r="F44" s="66">
        <f>AC44*AB44</f>
        <v>87.5</v>
      </c>
      <c r="G44" s="66">
        <f t="shared" si="23"/>
        <v>45.344999999999999</v>
      </c>
      <c r="H44" s="16">
        <f t="shared" si="24"/>
        <v>45.344999999999999</v>
      </c>
      <c r="I44" s="16">
        <f t="shared" si="25"/>
        <v>60.46</v>
      </c>
      <c r="J44" s="16">
        <f t="shared" si="39"/>
        <v>30.23</v>
      </c>
      <c r="K44" s="66"/>
      <c r="L44" s="16">
        <f t="shared" si="40"/>
        <v>0</v>
      </c>
      <c r="M44" s="66"/>
      <c r="N44" s="66"/>
      <c r="O44" s="66"/>
      <c r="P44" s="16"/>
      <c r="Q44" s="7"/>
      <c r="R44" s="7"/>
      <c r="S44" s="16">
        <f>Z2</f>
        <v>0</v>
      </c>
      <c r="T44" s="16">
        <f t="shared" si="41"/>
        <v>2645.125</v>
      </c>
      <c r="U44" s="8" t="s">
        <v>33</v>
      </c>
      <c r="V44" s="109">
        <v>1221769510</v>
      </c>
      <c r="W44" s="62">
        <f t="shared" si="29"/>
        <v>2645.125</v>
      </c>
      <c r="X44" s="17">
        <f t="shared" si="43"/>
        <v>264.51249999999999</v>
      </c>
      <c r="Y44" s="68"/>
      <c r="Z44" s="161">
        <v>5</v>
      </c>
      <c r="AA44" s="161">
        <v>5</v>
      </c>
      <c r="AB44" s="65">
        <f>Y44+Z44+AA44</f>
        <v>10</v>
      </c>
      <c r="AC44" s="62">
        <v>8.75</v>
      </c>
      <c r="AD44" s="69" t="str">
        <f t="shared" si="44"/>
        <v>MPHO SITHUGA</v>
      </c>
    </row>
    <row r="45" spans="1:30" ht="15" x14ac:dyDescent="0.25">
      <c r="A45" s="6">
        <v>32</v>
      </c>
      <c r="B45" s="6">
        <v>453</v>
      </c>
      <c r="C45" s="8" t="s">
        <v>91</v>
      </c>
      <c r="D45" s="8" t="s">
        <v>50</v>
      </c>
      <c r="E45" s="17">
        <v>40</v>
      </c>
      <c r="F45" s="66">
        <f>AC45*AB45</f>
        <v>87.5</v>
      </c>
      <c r="G45" s="66">
        <f t="shared" si="23"/>
        <v>60</v>
      </c>
      <c r="H45" s="16">
        <f t="shared" si="24"/>
        <v>60</v>
      </c>
      <c r="I45" s="16">
        <f t="shared" si="25"/>
        <v>80</v>
      </c>
      <c r="J45" s="16">
        <f t="shared" si="39"/>
        <v>40</v>
      </c>
      <c r="K45" s="66"/>
      <c r="L45" s="16">
        <f t="shared" si="40"/>
        <v>0</v>
      </c>
      <c r="M45" s="66"/>
      <c r="N45" s="66">
        <v>14.5</v>
      </c>
      <c r="O45" s="66"/>
      <c r="P45" s="16"/>
      <c r="Q45" s="7"/>
      <c r="R45" s="7"/>
      <c r="S45" s="16">
        <f>Z2</f>
        <v>0</v>
      </c>
      <c r="T45" s="16">
        <f t="shared" si="41"/>
        <v>4370</v>
      </c>
      <c r="U45" s="8" t="s">
        <v>36</v>
      </c>
      <c r="V45" s="109">
        <v>1432449700</v>
      </c>
      <c r="W45" s="62">
        <f>T45+R45+Q45+P45</f>
        <v>4370</v>
      </c>
      <c r="X45" s="16">
        <f t="shared" si="43"/>
        <v>350</v>
      </c>
      <c r="Y45" s="68"/>
      <c r="Z45" s="161">
        <v>5</v>
      </c>
      <c r="AA45" s="161">
        <v>5</v>
      </c>
      <c r="AB45" s="65">
        <f>Y45+Z45+AA45</f>
        <v>10</v>
      </c>
      <c r="AC45" s="62">
        <v>8.75</v>
      </c>
      <c r="AD45" s="69" t="str">
        <f t="shared" si="44"/>
        <v>MSIZI MKHALIPHI</v>
      </c>
    </row>
    <row r="46" spans="1:30" ht="15" x14ac:dyDescent="0.25">
      <c r="A46" s="6">
        <v>33</v>
      </c>
      <c r="B46" s="6">
        <v>433</v>
      </c>
      <c r="C46" s="8" t="s">
        <v>60</v>
      </c>
      <c r="D46" s="8" t="s">
        <v>50</v>
      </c>
      <c r="E46" s="17">
        <v>31.42</v>
      </c>
      <c r="F46" s="66">
        <f t="shared" ref="F46:F51" si="45">AC46*AB46</f>
        <v>87.5</v>
      </c>
      <c r="G46" s="66">
        <f t="shared" si="23"/>
        <v>47.13</v>
      </c>
      <c r="H46" s="16">
        <f t="shared" si="24"/>
        <v>47.13</v>
      </c>
      <c r="I46" s="16">
        <f t="shared" si="25"/>
        <v>62.84</v>
      </c>
      <c r="J46" s="16">
        <f t="shared" si="39"/>
        <v>31.42</v>
      </c>
      <c r="K46" s="66"/>
      <c r="L46" s="16">
        <f t="shared" si="40"/>
        <v>0</v>
      </c>
      <c r="M46" s="66"/>
      <c r="N46" s="66"/>
      <c r="O46" s="66"/>
      <c r="P46" s="16"/>
      <c r="Q46" s="7"/>
      <c r="R46" s="7"/>
      <c r="S46" s="16"/>
      <c r="T46" s="16">
        <f t="shared" si="41"/>
        <v>2749.25</v>
      </c>
      <c r="U46" s="8" t="s">
        <v>33</v>
      </c>
      <c r="V46" s="109">
        <v>1236987357</v>
      </c>
      <c r="W46" s="62">
        <f t="shared" si="29"/>
        <v>2749.25</v>
      </c>
      <c r="X46" s="16">
        <f t="shared" si="43"/>
        <v>274.92500000000001</v>
      </c>
      <c r="Y46" s="68"/>
      <c r="Z46" s="161">
        <v>5</v>
      </c>
      <c r="AA46" s="161">
        <v>5</v>
      </c>
      <c r="AB46" s="65">
        <f t="shared" si="5"/>
        <v>10</v>
      </c>
      <c r="AC46" s="62">
        <v>8.75</v>
      </c>
      <c r="AD46" s="69" t="str">
        <f t="shared" si="44"/>
        <v>NDIKHO SOKUDELA</v>
      </c>
    </row>
    <row r="47" spans="1:30" ht="15" x14ac:dyDescent="0.25">
      <c r="A47" s="6">
        <v>34</v>
      </c>
      <c r="B47" s="6">
        <v>448</v>
      </c>
      <c r="C47" s="8" t="s">
        <v>143</v>
      </c>
      <c r="D47" s="8" t="s">
        <v>50</v>
      </c>
      <c r="E47" s="17">
        <v>40</v>
      </c>
      <c r="F47" s="66">
        <f>AC47*AB47</f>
        <v>78.75</v>
      </c>
      <c r="G47" s="66">
        <f t="shared" si="23"/>
        <v>60</v>
      </c>
      <c r="H47" s="16">
        <f t="shared" si="24"/>
        <v>60</v>
      </c>
      <c r="I47" s="16">
        <f t="shared" si="25"/>
        <v>80</v>
      </c>
      <c r="J47" s="16">
        <f t="shared" si="39"/>
        <v>40</v>
      </c>
      <c r="K47" s="66"/>
      <c r="L47" s="16">
        <f t="shared" si="40"/>
        <v>0</v>
      </c>
      <c r="M47" s="66"/>
      <c r="N47" s="66"/>
      <c r="O47" s="66"/>
      <c r="P47" s="16"/>
      <c r="Q47" s="7"/>
      <c r="R47" s="7"/>
      <c r="S47" s="16"/>
      <c r="T47" s="16">
        <f t="shared" si="41"/>
        <v>3150</v>
      </c>
      <c r="U47" s="8" t="s">
        <v>36</v>
      </c>
      <c r="V47" s="109">
        <v>1609272445</v>
      </c>
      <c r="W47" s="62">
        <f>T47+R47+Q47+P47</f>
        <v>3150</v>
      </c>
      <c r="X47" s="16">
        <f t="shared" si="43"/>
        <v>350</v>
      </c>
      <c r="Y47" s="68"/>
      <c r="Z47" s="161">
        <v>4</v>
      </c>
      <c r="AA47" s="161">
        <v>5</v>
      </c>
      <c r="AB47" s="65">
        <f t="shared" si="5"/>
        <v>9</v>
      </c>
      <c r="AC47" s="62">
        <v>8.75</v>
      </c>
      <c r="AD47" s="69" t="str">
        <f t="shared" si="44"/>
        <v>NELSON SEKGOPO</v>
      </c>
    </row>
    <row r="48" spans="1:30" ht="15" x14ac:dyDescent="0.25">
      <c r="A48" s="6">
        <v>35</v>
      </c>
      <c r="B48" s="6">
        <v>116</v>
      </c>
      <c r="C48" s="19" t="s">
        <v>61</v>
      </c>
      <c r="D48" s="19" t="s">
        <v>32</v>
      </c>
      <c r="E48" s="17">
        <v>38.159999999999997</v>
      </c>
      <c r="F48" s="66">
        <f t="shared" si="45"/>
        <v>87.5</v>
      </c>
      <c r="G48" s="66">
        <f t="shared" si="23"/>
        <v>57.239999999999995</v>
      </c>
      <c r="H48" s="16">
        <f t="shared" si="24"/>
        <v>57.239999999999995</v>
      </c>
      <c r="I48" s="16">
        <f t="shared" si="25"/>
        <v>76.319999999999993</v>
      </c>
      <c r="J48" s="16">
        <f t="shared" si="39"/>
        <v>38.159999999999997</v>
      </c>
      <c r="K48" s="66"/>
      <c r="L48" s="16">
        <f t="shared" si="40"/>
        <v>0</v>
      </c>
      <c r="M48" s="66"/>
      <c r="N48" s="66">
        <v>14</v>
      </c>
      <c r="O48" s="66">
        <v>5</v>
      </c>
      <c r="P48" s="16"/>
      <c r="Q48" s="16"/>
      <c r="R48" s="16"/>
      <c r="S48" s="18"/>
      <c r="T48" s="16">
        <f t="shared" si="41"/>
        <v>4521.96</v>
      </c>
      <c r="U48" s="19" t="s">
        <v>33</v>
      </c>
      <c r="V48" s="109">
        <v>1278973540</v>
      </c>
      <c r="W48" s="62">
        <f t="shared" si="29"/>
        <v>4521.96</v>
      </c>
      <c r="X48" s="20">
        <f t="shared" si="43"/>
        <v>333.9</v>
      </c>
      <c r="Y48" s="149"/>
      <c r="Z48" s="161">
        <v>5</v>
      </c>
      <c r="AA48" s="161">
        <v>5</v>
      </c>
      <c r="AB48" s="65">
        <f t="shared" si="5"/>
        <v>10</v>
      </c>
      <c r="AC48" s="62">
        <v>8.75</v>
      </c>
      <c r="AD48" s="8" t="str">
        <f t="shared" si="44"/>
        <v xml:space="preserve">NKOSINATHI KHUMALO  </v>
      </c>
    </row>
    <row r="49" spans="1:30" ht="15" x14ac:dyDescent="0.25">
      <c r="A49" s="6">
        <v>36</v>
      </c>
      <c r="B49" s="6">
        <v>423</v>
      </c>
      <c r="C49" s="8" t="s">
        <v>139</v>
      </c>
      <c r="D49" s="8"/>
      <c r="E49" s="17">
        <v>32.86</v>
      </c>
      <c r="F49" s="66">
        <f>AC49*AB49</f>
        <v>70</v>
      </c>
      <c r="G49" s="66">
        <f t="shared" si="23"/>
        <v>49.29</v>
      </c>
      <c r="H49" s="16">
        <f t="shared" si="24"/>
        <v>49.29</v>
      </c>
      <c r="I49" s="16">
        <f t="shared" si="25"/>
        <v>65.72</v>
      </c>
      <c r="J49" s="16">
        <f t="shared" si="39"/>
        <v>32.86</v>
      </c>
      <c r="K49" s="66"/>
      <c r="L49" s="16">
        <f t="shared" si="40"/>
        <v>0</v>
      </c>
      <c r="M49" s="66"/>
      <c r="N49" s="66">
        <v>7</v>
      </c>
      <c r="O49" s="66"/>
      <c r="P49" s="16"/>
      <c r="Q49" s="7"/>
      <c r="R49" s="7"/>
      <c r="S49" s="16">
        <f>Z2</f>
        <v>0</v>
      </c>
      <c r="T49" s="16">
        <f t="shared" si="41"/>
        <v>2645.2299999999996</v>
      </c>
      <c r="U49" s="8" t="s">
        <v>45</v>
      </c>
      <c r="V49" s="109">
        <v>4115745202</v>
      </c>
      <c r="W49" s="62">
        <f>T49+R49+Q49+P49</f>
        <v>2645.2299999999996</v>
      </c>
      <c r="X49" s="16">
        <f t="shared" si="43"/>
        <v>287.52499999999998</v>
      </c>
      <c r="Y49" s="68">
        <v>-1</v>
      </c>
      <c r="Z49" s="161">
        <v>5</v>
      </c>
      <c r="AA49" s="161">
        <v>4</v>
      </c>
      <c r="AB49" s="65">
        <f t="shared" si="5"/>
        <v>8</v>
      </c>
      <c r="AC49" s="62">
        <v>8.75</v>
      </c>
      <c r="AD49" s="69" t="str">
        <f t="shared" si="44"/>
        <v>NTOBEKO GHABILE</v>
      </c>
    </row>
    <row r="50" spans="1:30" ht="15" x14ac:dyDescent="0.25">
      <c r="A50" s="6">
        <v>37</v>
      </c>
      <c r="B50" s="6">
        <v>424</v>
      </c>
      <c r="C50" s="8" t="s">
        <v>62</v>
      </c>
      <c r="D50" s="8"/>
      <c r="E50" s="17">
        <v>32.86</v>
      </c>
      <c r="F50" s="66">
        <f>AC50*AB50</f>
        <v>78.75</v>
      </c>
      <c r="G50" s="66">
        <f t="shared" si="23"/>
        <v>49.29</v>
      </c>
      <c r="H50" s="16">
        <f t="shared" si="24"/>
        <v>49.29</v>
      </c>
      <c r="I50" s="16">
        <f t="shared" si="25"/>
        <v>65.72</v>
      </c>
      <c r="J50" s="16">
        <f t="shared" si="39"/>
        <v>32.86</v>
      </c>
      <c r="K50" s="66"/>
      <c r="L50" s="16">
        <f t="shared" si="40"/>
        <v>0</v>
      </c>
      <c r="M50" s="66"/>
      <c r="N50" s="66">
        <v>7</v>
      </c>
      <c r="O50" s="66">
        <v>5</v>
      </c>
      <c r="P50" s="16"/>
      <c r="Q50" s="7"/>
      <c r="R50" s="7"/>
      <c r="S50" s="16">
        <f>Z2</f>
        <v>0</v>
      </c>
      <c r="T50" s="16">
        <f t="shared" si="41"/>
        <v>3261.355</v>
      </c>
      <c r="U50" s="8" t="s">
        <v>36</v>
      </c>
      <c r="V50" s="109">
        <v>1499375601</v>
      </c>
      <c r="W50" s="62">
        <f t="shared" si="29"/>
        <v>3261.355</v>
      </c>
      <c r="X50" s="16">
        <f t="shared" si="43"/>
        <v>287.52499999999998</v>
      </c>
      <c r="Y50" s="68"/>
      <c r="Z50" s="161">
        <v>4</v>
      </c>
      <c r="AA50" s="161">
        <v>5</v>
      </c>
      <c r="AB50" s="65">
        <f t="shared" si="5"/>
        <v>9</v>
      </c>
      <c r="AC50" s="62">
        <v>8.75</v>
      </c>
      <c r="AD50" s="69" t="str">
        <f t="shared" si="44"/>
        <v>OUPA MPHOTU</v>
      </c>
    </row>
    <row r="51" spans="1:30" ht="15" x14ac:dyDescent="0.25">
      <c r="A51" s="6">
        <v>38</v>
      </c>
      <c r="B51" s="6">
        <v>114</v>
      </c>
      <c r="C51" s="19" t="s">
        <v>63</v>
      </c>
      <c r="D51" s="19" t="s">
        <v>64</v>
      </c>
      <c r="E51" s="17">
        <v>40</v>
      </c>
      <c r="F51" s="66">
        <f t="shared" si="45"/>
        <v>87.5</v>
      </c>
      <c r="G51" s="66">
        <f t="shared" si="23"/>
        <v>60</v>
      </c>
      <c r="H51" s="16">
        <f t="shared" si="24"/>
        <v>60</v>
      </c>
      <c r="I51" s="16">
        <f t="shared" si="25"/>
        <v>80</v>
      </c>
      <c r="J51" s="16">
        <f t="shared" si="39"/>
        <v>40</v>
      </c>
      <c r="K51" s="66"/>
      <c r="L51" s="16">
        <v>215</v>
      </c>
      <c r="M51" s="66"/>
      <c r="N51" s="66">
        <v>7.5</v>
      </c>
      <c r="O51" s="72"/>
      <c r="P51" s="16">
        <v>215</v>
      </c>
      <c r="Q51" s="7">
        <f>X4</f>
        <v>20</v>
      </c>
      <c r="R51" s="7">
        <f>X3</f>
        <v>18.307857142857141</v>
      </c>
      <c r="S51" s="16">
        <f>Z2</f>
        <v>0</v>
      </c>
      <c r="T51" s="16">
        <f t="shared" si="41"/>
        <v>3911.6921428571427</v>
      </c>
      <c r="U51" s="216" t="s">
        <v>36</v>
      </c>
      <c r="V51" s="212">
        <v>1421309805</v>
      </c>
      <c r="W51" s="190">
        <f t="shared" si="29"/>
        <v>4165</v>
      </c>
      <c r="X51" s="214">
        <f t="shared" si="43"/>
        <v>350</v>
      </c>
      <c r="Y51" s="207"/>
      <c r="Z51" s="184">
        <v>5</v>
      </c>
      <c r="AA51" s="184">
        <v>5</v>
      </c>
      <c r="AB51" s="196">
        <f t="shared" si="5"/>
        <v>10</v>
      </c>
      <c r="AC51" s="190">
        <v>8.75</v>
      </c>
      <c r="AD51" s="188" t="str">
        <f t="shared" si="44"/>
        <v>PATRICK MASILELA</v>
      </c>
    </row>
    <row r="52" spans="1:30" ht="15" x14ac:dyDescent="0.2">
      <c r="A52" s="209" t="s">
        <v>34</v>
      </c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1"/>
      <c r="T52" s="16">
        <f>X2</f>
        <v>500</v>
      </c>
      <c r="U52" s="217"/>
      <c r="V52" s="213"/>
      <c r="W52" s="191"/>
      <c r="X52" s="215"/>
      <c r="Y52" s="208"/>
      <c r="Z52" s="185"/>
      <c r="AA52" s="185"/>
      <c r="AB52" s="197">
        <f t="shared" si="5"/>
        <v>0</v>
      </c>
      <c r="AC52" s="191"/>
      <c r="AD52" s="189"/>
    </row>
    <row r="53" spans="1:30" ht="15" x14ac:dyDescent="0.25">
      <c r="A53" s="49">
        <v>39</v>
      </c>
      <c r="B53" s="49">
        <v>340</v>
      </c>
      <c r="C53" s="8" t="s">
        <v>65</v>
      </c>
      <c r="D53" s="8" t="s">
        <v>29</v>
      </c>
      <c r="E53" s="17">
        <v>42.4</v>
      </c>
      <c r="F53" s="66">
        <f>AC53*AB53</f>
        <v>87.5</v>
      </c>
      <c r="G53" s="66">
        <f>E53*1.5</f>
        <v>63.599999999999994</v>
      </c>
      <c r="H53" s="16">
        <f>E53*1.5</f>
        <v>63.599999999999994</v>
      </c>
      <c r="I53" s="16">
        <f>E53*2</f>
        <v>84.8</v>
      </c>
      <c r="J53" s="16">
        <f t="shared" ref="J53:J54" si="46">E53</f>
        <v>42.4</v>
      </c>
      <c r="K53" s="66"/>
      <c r="L53" s="16">
        <f t="shared" ref="L53:L54" si="47">J53*K53</f>
        <v>0</v>
      </c>
      <c r="M53" s="66"/>
      <c r="N53" s="66">
        <v>7</v>
      </c>
      <c r="O53" s="66">
        <v>5</v>
      </c>
      <c r="P53" s="16"/>
      <c r="Q53" s="7"/>
      <c r="R53" s="7"/>
      <c r="S53" s="16">
        <f>Z2</f>
        <v>0</v>
      </c>
      <c r="T53" s="16">
        <f>(E53*F53)+(G53*M53)+(H53*N53)+(I53*O53)-P53-Q53-R53+S53+L53</f>
        <v>4579.2</v>
      </c>
      <c r="U53" s="8" t="s">
        <v>58</v>
      </c>
      <c r="V53" s="113">
        <v>51133064796</v>
      </c>
      <c r="W53" s="62">
        <f t="shared" ref="W53:W54" si="48">T53+R53+Q53+P53</f>
        <v>4579.2</v>
      </c>
      <c r="X53" s="16">
        <f>E53*8.75</f>
        <v>371</v>
      </c>
      <c r="Y53" s="68"/>
      <c r="Z53" s="161">
        <v>5</v>
      </c>
      <c r="AA53" s="161">
        <v>5</v>
      </c>
      <c r="AB53" s="65">
        <f t="shared" si="5"/>
        <v>10</v>
      </c>
      <c r="AC53" s="62">
        <v>8.75</v>
      </c>
      <c r="AD53" s="8" t="str">
        <f>C53</f>
        <v>PEACE MAKHOKHA</v>
      </c>
    </row>
    <row r="54" spans="1:30" ht="15" x14ac:dyDescent="0.25">
      <c r="A54" s="49">
        <v>40</v>
      </c>
      <c r="B54" s="49">
        <v>338</v>
      </c>
      <c r="C54" s="8" t="s">
        <v>66</v>
      </c>
      <c r="D54" s="8" t="s">
        <v>29</v>
      </c>
      <c r="E54" s="17">
        <v>33.92</v>
      </c>
      <c r="F54" s="66">
        <f>AC54*AB54</f>
        <v>87.5</v>
      </c>
      <c r="G54" s="66">
        <f>E54*1.5</f>
        <v>50.88</v>
      </c>
      <c r="H54" s="16">
        <f>E54*1.5</f>
        <v>50.88</v>
      </c>
      <c r="I54" s="16">
        <f>E54*2</f>
        <v>67.84</v>
      </c>
      <c r="J54" s="16">
        <f t="shared" si="46"/>
        <v>33.92</v>
      </c>
      <c r="K54" s="66"/>
      <c r="L54" s="16">
        <f t="shared" si="47"/>
        <v>0</v>
      </c>
      <c r="M54" s="66"/>
      <c r="N54" s="66">
        <v>7</v>
      </c>
      <c r="O54" s="66"/>
      <c r="P54" s="16"/>
      <c r="Q54" s="22">
        <f>Q11</f>
        <v>20</v>
      </c>
      <c r="R54" s="22">
        <f>R11</f>
        <v>18.307857142857141</v>
      </c>
      <c r="S54" s="16">
        <f>Z2</f>
        <v>0</v>
      </c>
      <c r="T54" s="18">
        <f>(E54*F54)+(G54*M54)+(H54*N54)+(I54*O54)-P54-Q54-R54+S54+L54</f>
        <v>3285.8521428571426</v>
      </c>
      <c r="U54" s="19" t="s">
        <v>33</v>
      </c>
      <c r="V54" s="109">
        <v>1601551485</v>
      </c>
      <c r="W54" s="62">
        <f t="shared" si="48"/>
        <v>3324.16</v>
      </c>
      <c r="X54" s="17">
        <f>E54*8.75</f>
        <v>296.8</v>
      </c>
      <c r="Y54" s="68"/>
      <c r="Z54" s="161">
        <v>5</v>
      </c>
      <c r="AA54" s="161">
        <v>5</v>
      </c>
      <c r="AB54" s="154">
        <f t="shared" si="5"/>
        <v>10</v>
      </c>
      <c r="AC54" s="62">
        <v>8.75</v>
      </c>
      <c r="AD54" s="8" t="str">
        <f>C54</f>
        <v>PETROS SHITLANGU</v>
      </c>
    </row>
    <row r="56" spans="1:30" ht="15" x14ac:dyDescent="0.2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U56" s="114"/>
      <c r="V56" s="115"/>
      <c r="W56" s="84"/>
      <c r="X56" s="85"/>
      <c r="Y56" s="85"/>
      <c r="Z56" s="85"/>
      <c r="AA56" s="85"/>
      <c r="AB56" s="86"/>
      <c r="AC56" s="84"/>
      <c r="AD56" s="87"/>
    </row>
    <row r="57" spans="1:30" ht="22.5" customHeight="1" x14ac:dyDescent="0.25">
      <c r="A57" s="202" t="s">
        <v>6</v>
      </c>
      <c r="B57" s="202" t="s">
        <v>147</v>
      </c>
      <c r="C57" s="48" t="s">
        <v>75</v>
      </c>
      <c r="D57" s="205" t="s">
        <v>8</v>
      </c>
      <c r="E57" s="226" t="s">
        <v>9</v>
      </c>
      <c r="F57" s="202" t="s">
        <v>10</v>
      </c>
      <c r="G57" s="203" t="s">
        <v>11</v>
      </c>
      <c r="H57" s="203" t="s">
        <v>12</v>
      </c>
      <c r="I57" s="204" t="s">
        <v>13</v>
      </c>
      <c r="J57" s="221" t="s">
        <v>151</v>
      </c>
      <c r="K57" s="218" t="s">
        <v>152</v>
      </c>
      <c r="L57" s="218" t="s">
        <v>153</v>
      </c>
      <c r="M57" s="206" t="s">
        <v>14</v>
      </c>
      <c r="N57" s="204" t="s">
        <v>15</v>
      </c>
      <c r="O57" s="204" t="s">
        <v>16</v>
      </c>
      <c r="P57" s="232" t="s">
        <v>17</v>
      </c>
      <c r="Q57" s="232" t="s">
        <v>18</v>
      </c>
      <c r="R57" s="232" t="s">
        <v>19</v>
      </c>
      <c r="S57" s="203" t="s">
        <v>148</v>
      </c>
      <c r="T57" s="232" t="s">
        <v>20</v>
      </c>
      <c r="U57" s="202" t="s">
        <v>22</v>
      </c>
      <c r="V57" s="201" t="s">
        <v>23</v>
      </c>
      <c r="W57" s="181" t="s">
        <v>24</v>
      </c>
      <c r="X57" s="181" t="s">
        <v>25</v>
      </c>
      <c r="Y57" s="181" t="s">
        <v>161</v>
      </c>
      <c r="Z57" s="181" t="s">
        <v>162</v>
      </c>
      <c r="AA57" s="181" t="s">
        <v>163</v>
      </c>
      <c r="AB57" s="198" t="s">
        <v>26</v>
      </c>
      <c r="AC57" s="181" t="s">
        <v>27</v>
      </c>
      <c r="AD57" s="181" t="s">
        <v>28</v>
      </c>
    </row>
    <row r="58" spans="1:30" ht="5.25" customHeight="1" x14ac:dyDescent="0.25">
      <c r="A58" s="202"/>
      <c r="B58" s="202"/>
      <c r="C58" s="12"/>
      <c r="D58" s="228"/>
      <c r="E58" s="226"/>
      <c r="F58" s="202"/>
      <c r="G58" s="203"/>
      <c r="H58" s="203"/>
      <c r="I58" s="204"/>
      <c r="J58" s="222"/>
      <c r="K58" s="219"/>
      <c r="L58" s="219"/>
      <c r="M58" s="206"/>
      <c r="N58" s="204"/>
      <c r="O58" s="204"/>
      <c r="P58" s="232"/>
      <c r="Q58" s="232"/>
      <c r="R58" s="232"/>
      <c r="S58" s="203"/>
      <c r="T58" s="232"/>
      <c r="U58" s="202"/>
      <c r="V58" s="201"/>
      <c r="W58" s="182"/>
      <c r="X58" s="182"/>
      <c r="Y58" s="182"/>
      <c r="Z58" s="182"/>
      <c r="AA58" s="182"/>
      <c r="AB58" s="199"/>
      <c r="AC58" s="182"/>
      <c r="AD58" s="182"/>
    </row>
    <row r="59" spans="1:30" s="1" customFormat="1" ht="15" x14ac:dyDescent="0.25">
      <c r="A59" s="202"/>
      <c r="B59" s="202"/>
      <c r="C59" s="71" t="s">
        <v>28</v>
      </c>
      <c r="D59" s="229"/>
      <c r="E59" s="226"/>
      <c r="F59" s="202"/>
      <c r="G59" s="203"/>
      <c r="H59" s="203"/>
      <c r="I59" s="204"/>
      <c r="J59" s="223"/>
      <c r="K59" s="220"/>
      <c r="L59" s="220"/>
      <c r="M59" s="206"/>
      <c r="N59" s="204"/>
      <c r="O59" s="204"/>
      <c r="P59" s="232"/>
      <c r="Q59" s="232"/>
      <c r="R59" s="232"/>
      <c r="S59" s="221"/>
      <c r="T59" s="232"/>
      <c r="U59" s="202"/>
      <c r="V59" s="201"/>
      <c r="W59" s="183"/>
      <c r="X59" s="183"/>
      <c r="Y59" s="183"/>
      <c r="Z59" s="183"/>
      <c r="AA59" s="183"/>
      <c r="AB59" s="200"/>
      <c r="AC59" s="183"/>
      <c r="AD59" s="183"/>
    </row>
    <row r="60" spans="1:30" ht="15" x14ac:dyDescent="0.25">
      <c r="A60" s="49">
        <v>41</v>
      </c>
      <c r="B60" s="49">
        <v>341</v>
      </c>
      <c r="C60" s="8" t="s">
        <v>67</v>
      </c>
      <c r="D60" s="8" t="s">
        <v>68</v>
      </c>
      <c r="E60" s="17">
        <v>38.76</v>
      </c>
      <c r="F60" s="66">
        <f t="shared" ref="F60:F65" si="49">AC60*AB60</f>
        <v>87.5</v>
      </c>
      <c r="G60" s="66">
        <f t="shared" ref="G60:G67" si="50">E60*1.5</f>
        <v>58.14</v>
      </c>
      <c r="H60" s="16">
        <f t="shared" ref="H60:H67" si="51">E60*1.5</f>
        <v>58.14</v>
      </c>
      <c r="I60" s="16">
        <f t="shared" ref="I60:I67" si="52">E60*2</f>
        <v>77.52</v>
      </c>
      <c r="J60" s="16">
        <f t="shared" ref="J60:J68" si="53">E60</f>
        <v>38.76</v>
      </c>
      <c r="K60" s="66"/>
      <c r="L60" s="16">
        <f t="shared" ref="L60:L68" si="54">J60*K60</f>
        <v>0</v>
      </c>
      <c r="M60" s="66"/>
      <c r="N60" s="66">
        <v>9.5</v>
      </c>
      <c r="O60" s="66">
        <v>5</v>
      </c>
      <c r="P60" s="16"/>
      <c r="Q60" s="7"/>
      <c r="R60" s="7"/>
      <c r="S60" s="16"/>
      <c r="T60" s="18">
        <f t="shared" ref="T60:T68" si="55">(E60*F60)+(G60*M60)+(H60*N60)+(I60*O60)-P60-Q60-R60+S60+L60</f>
        <v>4331.43</v>
      </c>
      <c r="U60" s="8" t="s">
        <v>159</v>
      </c>
      <c r="V60" s="113">
        <v>51320728921</v>
      </c>
      <c r="W60" s="62">
        <f t="shared" ref="W60:W67" si="56">T60+R60+Q60+P60</f>
        <v>4331.43</v>
      </c>
      <c r="X60" s="16">
        <f t="shared" ref="X60:X68" si="57">E60*8.75</f>
        <v>339.15</v>
      </c>
      <c r="Y60" s="68"/>
      <c r="Z60" s="161">
        <v>5</v>
      </c>
      <c r="AA60" s="161">
        <v>5</v>
      </c>
      <c r="AB60" s="65">
        <f t="shared" ref="AB60:AB77" si="58">Y60+Z60+AA60</f>
        <v>10</v>
      </c>
      <c r="AC60" s="62">
        <v>8.75</v>
      </c>
      <c r="AD60" s="8" t="str">
        <f t="shared" ref="AD60:AD67" si="59">C60</f>
        <v>PHILISANI NDLOVU</v>
      </c>
    </row>
    <row r="61" spans="1:30" ht="15" x14ac:dyDescent="0.25">
      <c r="A61" s="49">
        <v>42</v>
      </c>
      <c r="B61" s="49">
        <v>218</v>
      </c>
      <c r="C61" s="8" t="s">
        <v>69</v>
      </c>
      <c r="D61" s="50" t="s">
        <v>55</v>
      </c>
      <c r="E61" s="17">
        <v>31.42</v>
      </c>
      <c r="F61" s="66">
        <f t="shared" si="49"/>
        <v>87.5</v>
      </c>
      <c r="G61" s="66">
        <f t="shared" si="50"/>
        <v>47.13</v>
      </c>
      <c r="H61" s="16">
        <f t="shared" si="51"/>
        <v>47.13</v>
      </c>
      <c r="I61" s="16">
        <f t="shared" si="52"/>
        <v>62.84</v>
      </c>
      <c r="J61" s="16">
        <f t="shared" si="53"/>
        <v>31.42</v>
      </c>
      <c r="K61" s="66"/>
      <c r="L61" s="16">
        <f t="shared" si="54"/>
        <v>0</v>
      </c>
      <c r="M61" s="66"/>
      <c r="N61" s="66"/>
      <c r="O61" s="66"/>
      <c r="P61" s="16"/>
      <c r="Q61" s="7">
        <f>Q11</f>
        <v>20</v>
      </c>
      <c r="R61" s="7">
        <f>R11</f>
        <v>18.307857142857141</v>
      </c>
      <c r="S61" s="16"/>
      <c r="T61" s="16">
        <f t="shared" si="55"/>
        <v>2710.9421428571427</v>
      </c>
      <c r="U61" s="8" t="s">
        <v>36</v>
      </c>
      <c r="V61" s="109">
        <v>1699611821</v>
      </c>
      <c r="W61" s="62">
        <f t="shared" si="56"/>
        <v>2749.25</v>
      </c>
      <c r="X61" s="16">
        <f t="shared" si="57"/>
        <v>274.92500000000001</v>
      </c>
      <c r="Y61" s="68"/>
      <c r="Z61" s="161">
        <v>5</v>
      </c>
      <c r="AA61" s="161">
        <v>5</v>
      </c>
      <c r="AB61" s="65">
        <f t="shared" si="58"/>
        <v>10</v>
      </c>
      <c r="AC61" s="62">
        <v>8.75</v>
      </c>
      <c r="AD61" s="8" t="str">
        <f t="shared" si="59"/>
        <v>ROVER BULUNGA</v>
      </c>
    </row>
    <row r="62" spans="1:30" ht="15" x14ac:dyDescent="0.25">
      <c r="A62" s="49">
        <v>43</v>
      </c>
      <c r="B62" s="49">
        <v>464</v>
      </c>
      <c r="C62" s="8" t="s">
        <v>132</v>
      </c>
      <c r="D62" s="8"/>
      <c r="E62" s="17">
        <v>40</v>
      </c>
      <c r="F62" s="66">
        <f t="shared" si="49"/>
        <v>87.5</v>
      </c>
      <c r="G62" s="66">
        <f t="shared" si="50"/>
        <v>60</v>
      </c>
      <c r="H62" s="16">
        <f t="shared" si="51"/>
        <v>60</v>
      </c>
      <c r="I62" s="16">
        <f t="shared" si="52"/>
        <v>80</v>
      </c>
      <c r="J62" s="16">
        <f t="shared" si="53"/>
        <v>40</v>
      </c>
      <c r="K62" s="66"/>
      <c r="L62" s="16">
        <f t="shared" si="54"/>
        <v>0</v>
      </c>
      <c r="M62" s="66"/>
      <c r="N62" s="66"/>
      <c r="O62" s="66"/>
      <c r="P62" s="16"/>
      <c r="Q62" s="7">
        <f>Q11</f>
        <v>20</v>
      </c>
      <c r="R62" s="7">
        <f>R11</f>
        <v>18.307857142857141</v>
      </c>
      <c r="S62" s="16"/>
      <c r="T62" s="16">
        <f t="shared" si="55"/>
        <v>3461.6921428571427</v>
      </c>
      <c r="U62" s="8" t="s">
        <v>36</v>
      </c>
      <c r="V62" s="109">
        <v>2353182565</v>
      </c>
      <c r="W62" s="62">
        <f t="shared" si="56"/>
        <v>3500</v>
      </c>
      <c r="X62" s="16">
        <f t="shared" si="57"/>
        <v>350</v>
      </c>
      <c r="Y62" s="68"/>
      <c r="Z62" s="161">
        <v>5</v>
      </c>
      <c r="AA62" s="161">
        <v>5</v>
      </c>
      <c r="AB62" s="65">
        <f t="shared" si="58"/>
        <v>10</v>
      </c>
      <c r="AC62" s="62">
        <v>8.75</v>
      </c>
      <c r="AD62" s="69" t="str">
        <f t="shared" si="59"/>
        <v>SANYANE JOHN BHUDA</v>
      </c>
    </row>
    <row r="63" spans="1:30" ht="15" x14ac:dyDescent="0.25">
      <c r="A63" s="49">
        <v>45</v>
      </c>
      <c r="B63" s="49">
        <v>435</v>
      </c>
      <c r="C63" s="8" t="s">
        <v>70</v>
      </c>
      <c r="D63" s="8" t="s">
        <v>50</v>
      </c>
      <c r="E63" s="17">
        <v>33</v>
      </c>
      <c r="F63" s="66">
        <f>AC63*AB63</f>
        <v>87.5</v>
      </c>
      <c r="G63" s="66">
        <f>E63*1.5</f>
        <v>49.5</v>
      </c>
      <c r="H63" s="16">
        <f>E63*1.5</f>
        <v>49.5</v>
      </c>
      <c r="I63" s="16">
        <f>E63*2</f>
        <v>66</v>
      </c>
      <c r="J63" s="16">
        <f>E63</f>
        <v>33</v>
      </c>
      <c r="K63" s="66"/>
      <c r="L63" s="16">
        <f>J63*K63</f>
        <v>0</v>
      </c>
      <c r="M63" s="66"/>
      <c r="N63" s="66">
        <v>9.5</v>
      </c>
      <c r="O63" s="66">
        <v>5</v>
      </c>
      <c r="P63" s="16"/>
      <c r="Q63" s="7">
        <f>Q11</f>
        <v>20</v>
      </c>
      <c r="R63" s="7">
        <f>R11</f>
        <v>18.307857142857141</v>
      </c>
      <c r="S63" s="16">
        <f>Z2</f>
        <v>0</v>
      </c>
      <c r="T63" s="16">
        <f>(E63*F63)+(G63*M63)+(H63*N63)+(I63*O63)-P63-Q63-R63+S63+L63</f>
        <v>3649.4421428571427</v>
      </c>
      <c r="U63" s="8" t="s">
        <v>58</v>
      </c>
      <c r="V63" s="109">
        <v>51044176845</v>
      </c>
      <c r="W63" s="62">
        <f>T63+R63+Q63+P63</f>
        <v>3687.75</v>
      </c>
      <c r="X63" s="16">
        <f>E63*8.75</f>
        <v>288.75</v>
      </c>
      <c r="Y63" s="68"/>
      <c r="Z63" s="161">
        <v>5</v>
      </c>
      <c r="AA63" s="161">
        <v>5</v>
      </c>
      <c r="AB63" s="65">
        <f>Y63+Z63+AA63</f>
        <v>10</v>
      </c>
      <c r="AC63" s="62">
        <v>8.75</v>
      </c>
      <c r="AD63" s="69" t="str">
        <f>C63</f>
        <v>SFISO MAHLANGU</v>
      </c>
    </row>
    <row r="64" spans="1:30" ht="15" x14ac:dyDescent="0.25">
      <c r="A64" s="49">
        <v>16</v>
      </c>
      <c r="B64" s="49">
        <v>434</v>
      </c>
      <c r="C64" s="8" t="s">
        <v>71</v>
      </c>
      <c r="D64" s="8" t="s">
        <v>50</v>
      </c>
      <c r="E64" s="17">
        <v>42.4</v>
      </c>
      <c r="F64" s="66">
        <f t="shared" si="49"/>
        <v>87.5</v>
      </c>
      <c r="G64" s="66">
        <f>E64*1.5</f>
        <v>63.599999999999994</v>
      </c>
      <c r="H64" s="16">
        <f>E64*1.5</f>
        <v>63.599999999999994</v>
      </c>
      <c r="I64" s="16">
        <f>E64*2</f>
        <v>84.8</v>
      </c>
      <c r="J64" s="16">
        <f t="shared" si="53"/>
        <v>42.4</v>
      </c>
      <c r="K64" s="66"/>
      <c r="L64" s="16">
        <f t="shared" si="54"/>
        <v>0</v>
      </c>
      <c r="M64" s="66"/>
      <c r="N64" s="66">
        <v>14.5</v>
      </c>
      <c r="O64" s="66"/>
      <c r="P64" s="16"/>
      <c r="Q64" s="7"/>
      <c r="R64" s="7"/>
      <c r="S64" s="16">
        <f>Z2</f>
        <v>0</v>
      </c>
      <c r="T64" s="16">
        <f t="shared" si="55"/>
        <v>4632.2</v>
      </c>
      <c r="U64" s="8" t="s">
        <v>36</v>
      </c>
      <c r="V64" s="109">
        <v>1610467963</v>
      </c>
      <c r="W64" s="62">
        <f>T64+R64+Q64+P64</f>
        <v>4632.2</v>
      </c>
      <c r="X64" s="16">
        <f t="shared" si="57"/>
        <v>371</v>
      </c>
      <c r="Y64" s="68"/>
      <c r="Z64" s="161">
        <v>5</v>
      </c>
      <c r="AA64" s="161">
        <v>5</v>
      </c>
      <c r="AB64" s="65">
        <f t="shared" si="58"/>
        <v>10</v>
      </c>
      <c r="AC64" s="62">
        <v>8.75</v>
      </c>
      <c r="AD64" s="69" t="str">
        <f t="shared" si="59"/>
        <v>SHERRIFF MASELANI</v>
      </c>
    </row>
    <row r="65" spans="1:30" ht="15" x14ac:dyDescent="0.25">
      <c r="A65" s="49">
        <v>47</v>
      </c>
      <c r="B65" s="49">
        <v>492</v>
      </c>
      <c r="C65" s="8" t="s">
        <v>72</v>
      </c>
      <c r="D65" s="8" t="s">
        <v>50</v>
      </c>
      <c r="E65" s="17">
        <v>30.23</v>
      </c>
      <c r="F65" s="66">
        <f t="shared" si="49"/>
        <v>87.5</v>
      </c>
      <c r="G65" s="66">
        <f>E65*1.5</f>
        <v>45.344999999999999</v>
      </c>
      <c r="H65" s="16">
        <f>E65*1.5</f>
        <v>45.344999999999999</v>
      </c>
      <c r="I65" s="16">
        <f>E65*2</f>
        <v>60.46</v>
      </c>
      <c r="J65" s="16">
        <f t="shared" si="53"/>
        <v>30.23</v>
      </c>
      <c r="K65" s="66"/>
      <c r="L65" s="16">
        <f t="shared" si="54"/>
        <v>0</v>
      </c>
      <c r="M65" s="66"/>
      <c r="N65" s="66">
        <v>14</v>
      </c>
      <c r="O65" s="66">
        <v>5</v>
      </c>
      <c r="P65" s="16"/>
      <c r="Q65" s="7"/>
      <c r="R65" s="7"/>
      <c r="S65" s="16"/>
      <c r="T65" s="16">
        <f t="shared" si="55"/>
        <v>3582.2550000000001</v>
      </c>
      <c r="U65" s="8" t="s">
        <v>36</v>
      </c>
      <c r="V65" s="109">
        <v>1599518226</v>
      </c>
      <c r="W65" s="62">
        <f>T65+R65+Q65+P65</f>
        <v>3582.2550000000001</v>
      </c>
      <c r="X65" s="16">
        <f t="shared" si="57"/>
        <v>264.51249999999999</v>
      </c>
      <c r="Y65" s="68"/>
      <c r="Z65" s="161">
        <v>5</v>
      </c>
      <c r="AA65" s="161">
        <v>5</v>
      </c>
      <c r="AB65" s="65">
        <f t="shared" si="58"/>
        <v>10</v>
      </c>
      <c r="AC65" s="62">
        <v>8.75</v>
      </c>
      <c r="AD65" s="69" t="str">
        <f t="shared" si="59"/>
        <v>SIMBONGILE MPEPHO</v>
      </c>
    </row>
    <row r="66" spans="1:30" ht="15" x14ac:dyDescent="0.25">
      <c r="A66" s="49">
        <v>47</v>
      </c>
      <c r="B66" s="49">
        <v>449</v>
      </c>
      <c r="C66" s="8" t="s">
        <v>146</v>
      </c>
      <c r="D66" s="8" t="s">
        <v>50</v>
      </c>
      <c r="E66" s="17">
        <v>30.23</v>
      </c>
      <c r="F66" s="66">
        <f t="shared" ref="F66" si="60">AC66*AB66</f>
        <v>87.5</v>
      </c>
      <c r="G66" s="66">
        <f t="shared" si="50"/>
        <v>45.344999999999999</v>
      </c>
      <c r="H66" s="16">
        <f t="shared" si="51"/>
        <v>45.344999999999999</v>
      </c>
      <c r="I66" s="16">
        <f t="shared" si="52"/>
        <v>60.46</v>
      </c>
      <c r="J66" s="16">
        <f t="shared" si="53"/>
        <v>30.23</v>
      </c>
      <c r="K66" s="66"/>
      <c r="L66" s="16">
        <f t="shared" si="54"/>
        <v>0</v>
      </c>
      <c r="M66" s="66"/>
      <c r="N66" s="66">
        <v>7.5</v>
      </c>
      <c r="O66" s="66"/>
      <c r="P66" s="16"/>
      <c r="Q66" s="7"/>
      <c r="R66" s="7"/>
      <c r="S66" s="16">
        <f>Z2</f>
        <v>0</v>
      </c>
      <c r="T66" s="16">
        <f t="shared" si="55"/>
        <v>2985.2125000000001</v>
      </c>
      <c r="U66" s="8" t="s">
        <v>33</v>
      </c>
      <c r="V66" s="109">
        <v>51100101622</v>
      </c>
      <c r="W66" s="62">
        <f t="shared" si="56"/>
        <v>2985.2125000000001</v>
      </c>
      <c r="X66" s="16">
        <f t="shared" si="57"/>
        <v>264.51249999999999</v>
      </c>
      <c r="Y66" s="68"/>
      <c r="Z66" s="161">
        <v>5</v>
      </c>
      <c r="AA66" s="161">
        <v>5</v>
      </c>
      <c r="AB66" s="65">
        <f t="shared" si="58"/>
        <v>10</v>
      </c>
      <c r="AC66" s="62">
        <v>8.75</v>
      </c>
      <c r="AD66" s="69" t="str">
        <f t="shared" si="59"/>
        <v>SIPHO SIMILO MAZIBUKO</v>
      </c>
    </row>
    <row r="67" spans="1:30" ht="15" x14ac:dyDescent="0.25">
      <c r="A67" s="49">
        <v>48</v>
      </c>
      <c r="B67" s="49">
        <v>405</v>
      </c>
      <c r="C67" s="8" t="s">
        <v>73</v>
      </c>
      <c r="D67" s="8" t="s">
        <v>29</v>
      </c>
      <c r="E67" s="17">
        <v>31.42</v>
      </c>
      <c r="F67" s="66">
        <f>AC67*AB67</f>
        <v>87.5</v>
      </c>
      <c r="G67" s="66">
        <f t="shared" si="50"/>
        <v>47.13</v>
      </c>
      <c r="H67" s="16">
        <f t="shared" si="51"/>
        <v>47.13</v>
      </c>
      <c r="I67" s="16">
        <f t="shared" si="52"/>
        <v>62.84</v>
      </c>
      <c r="J67" s="16">
        <f t="shared" si="53"/>
        <v>31.42</v>
      </c>
      <c r="K67" s="66"/>
      <c r="L67" s="16">
        <f t="shared" si="54"/>
        <v>0</v>
      </c>
      <c r="M67" s="66"/>
      <c r="N67" s="66">
        <v>9</v>
      </c>
      <c r="O67" s="66">
        <v>5</v>
      </c>
      <c r="P67" s="16"/>
      <c r="Q67" s="7"/>
      <c r="R67" s="7"/>
      <c r="S67" s="16"/>
      <c r="T67" s="16">
        <f t="shared" si="55"/>
        <v>3487.62</v>
      </c>
      <c r="U67" s="8" t="s">
        <v>33</v>
      </c>
      <c r="V67" s="109"/>
      <c r="W67" s="62">
        <f t="shared" si="56"/>
        <v>3487.62</v>
      </c>
      <c r="X67" s="16">
        <f t="shared" si="57"/>
        <v>274.92500000000001</v>
      </c>
      <c r="Y67" s="68"/>
      <c r="Z67" s="161">
        <v>5</v>
      </c>
      <c r="AA67" s="161">
        <v>5</v>
      </c>
      <c r="AB67" s="65">
        <f t="shared" si="58"/>
        <v>10</v>
      </c>
      <c r="AC67" s="62">
        <v>8.75</v>
      </c>
      <c r="AD67" s="69" t="str">
        <f t="shared" si="59"/>
        <v>SIPHIWE MASHITENG</v>
      </c>
    </row>
    <row r="68" spans="1:30" ht="15" x14ac:dyDescent="0.25">
      <c r="A68" s="49">
        <v>49</v>
      </c>
      <c r="B68" s="49">
        <v>126</v>
      </c>
      <c r="C68" s="19" t="s">
        <v>74</v>
      </c>
      <c r="D68" s="70" t="s">
        <v>39</v>
      </c>
      <c r="E68" s="17">
        <v>35</v>
      </c>
      <c r="F68" s="66">
        <f>AC68*AB68</f>
        <v>87.5</v>
      </c>
      <c r="G68" s="66">
        <f>E68*1.5</f>
        <v>52.5</v>
      </c>
      <c r="H68" s="16">
        <f>E68*1.5</f>
        <v>52.5</v>
      </c>
      <c r="I68" s="16">
        <f>E68*2</f>
        <v>70</v>
      </c>
      <c r="J68" s="16">
        <f t="shared" si="53"/>
        <v>35</v>
      </c>
      <c r="K68" s="66"/>
      <c r="L68" s="16">
        <f t="shared" si="54"/>
        <v>0</v>
      </c>
      <c r="M68" s="66"/>
      <c r="N68" s="72">
        <v>9.5</v>
      </c>
      <c r="O68" s="72">
        <v>5</v>
      </c>
      <c r="P68" s="16"/>
      <c r="Q68" s="7">
        <f>Q11</f>
        <v>20</v>
      </c>
      <c r="R68" s="7">
        <f>R11</f>
        <v>18.307857142857141</v>
      </c>
      <c r="S68" s="16">
        <f>Z2</f>
        <v>0</v>
      </c>
      <c r="T68" s="16">
        <f t="shared" si="55"/>
        <v>3872.9421428571427</v>
      </c>
      <c r="U68" s="253" t="s">
        <v>36</v>
      </c>
      <c r="V68" s="212">
        <v>1419444695</v>
      </c>
      <c r="W68" s="190">
        <f>T68+R68+Q68+P68</f>
        <v>3911.25</v>
      </c>
      <c r="X68" s="255">
        <f t="shared" si="57"/>
        <v>306.25</v>
      </c>
      <c r="Y68" s="207"/>
      <c r="Z68" s="184">
        <v>5</v>
      </c>
      <c r="AA68" s="184">
        <v>5</v>
      </c>
      <c r="AB68" s="196">
        <f t="shared" si="58"/>
        <v>10</v>
      </c>
      <c r="AC68" s="190">
        <v>8.75</v>
      </c>
      <c r="AD68" s="188" t="str">
        <f>C68</f>
        <v>SIX MATEPSA</v>
      </c>
    </row>
    <row r="69" spans="1:30" ht="15" x14ac:dyDescent="0.2">
      <c r="A69" s="209" t="s">
        <v>34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1"/>
      <c r="T69" s="16">
        <v>250</v>
      </c>
      <c r="U69" s="254"/>
      <c r="V69" s="213"/>
      <c r="W69" s="191"/>
      <c r="X69" s="256"/>
      <c r="Y69" s="208"/>
      <c r="Z69" s="185"/>
      <c r="AA69" s="185"/>
      <c r="AB69" s="197">
        <f t="shared" si="58"/>
        <v>0</v>
      </c>
      <c r="AC69" s="191"/>
      <c r="AD69" s="189"/>
    </row>
    <row r="70" spans="1:30" ht="15" x14ac:dyDescent="0.25">
      <c r="A70" s="6">
        <v>51</v>
      </c>
      <c r="B70" s="6">
        <v>450</v>
      </c>
      <c r="C70" s="8" t="s">
        <v>145</v>
      </c>
      <c r="D70" s="8" t="s">
        <v>50</v>
      </c>
      <c r="E70" s="17">
        <v>40</v>
      </c>
      <c r="F70" s="66">
        <f>AC70*AB70</f>
        <v>78.75</v>
      </c>
      <c r="G70" s="66">
        <f t="shared" ref="G70" si="61">E70*1.5</f>
        <v>60</v>
      </c>
      <c r="H70" s="16">
        <f t="shared" ref="H70" si="62">E70*1.5</f>
        <v>60</v>
      </c>
      <c r="I70" s="16">
        <f t="shared" ref="I70" si="63">E70*2</f>
        <v>80</v>
      </c>
      <c r="J70" s="16">
        <f t="shared" ref="J70" si="64">E70</f>
        <v>40</v>
      </c>
      <c r="K70" s="66"/>
      <c r="L70" s="16">
        <f t="shared" ref="L70" si="65">J70*K70</f>
        <v>0</v>
      </c>
      <c r="M70" s="66"/>
      <c r="N70" s="66"/>
      <c r="O70" s="66"/>
      <c r="P70" s="16"/>
      <c r="Q70" s="7"/>
      <c r="R70" s="7"/>
      <c r="S70" s="16">
        <f>Z1</f>
        <v>0</v>
      </c>
      <c r="T70" s="16">
        <f t="shared" ref="T70" si="66">(E70*F70)+(G70*M70)+(H70*N70)+(I70*O70)-P70-Q70-R70+S70+L70</f>
        <v>3150</v>
      </c>
      <c r="U70" s="8" t="s">
        <v>58</v>
      </c>
      <c r="V70" s="109">
        <v>51004121348</v>
      </c>
      <c r="W70" s="62">
        <f t="shared" ref="W70" si="67">T70+R70+Q70+P70</f>
        <v>3150</v>
      </c>
      <c r="X70" s="16">
        <f t="shared" ref="X70" si="68">E70*8.75</f>
        <v>350</v>
      </c>
      <c r="Y70" s="68"/>
      <c r="Z70" s="161">
        <v>4</v>
      </c>
      <c r="AA70" s="161">
        <v>5</v>
      </c>
      <c r="AB70" s="65">
        <f t="shared" ref="AB70" si="69">Y70+Z70+AA70</f>
        <v>9</v>
      </c>
      <c r="AC70" s="62">
        <v>8.75</v>
      </c>
      <c r="AD70" s="69" t="str">
        <f t="shared" ref="AD70" si="70">C70</f>
        <v>STUART KHOZA</v>
      </c>
    </row>
    <row r="71" spans="1:30" ht="15" x14ac:dyDescent="0.25">
      <c r="A71" s="6">
        <v>51</v>
      </c>
      <c r="B71" s="6">
        <v>450</v>
      </c>
      <c r="C71" s="8" t="s">
        <v>144</v>
      </c>
      <c r="D71" s="8" t="s">
        <v>50</v>
      </c>
      <c r="E71" s="17">
        <v>32.86</v>
      </c>
      <c r="F71" s="66">
        <f>AC71*AB71</f>
        <v>61.25</v>
      </c>
      <c r="G71" s="66">
        <f t="shared" ref="G71" si="71">E71*1.5</f>
        <v>49.29</v>
      </c>
      <c r="H71" s="16">
        <f t="shared" ref="H71" si="72">E71*1.5</f>
        <v>49.29</v>
      </c>
      <c r="I71" s="16">
        <f t="shared" ref="I71" si="73">E71*2</f>
        <v>65.72</v>
      </c>
      <c r="J71" s="16">
        <f t="shared" ref="J71:J77" si="74">E71</f>
        <v>32.86</v>
      </c>
      <c r="K71" s="66"/>
      <c r="L71" s="16">
        <f t="shared" ref="L71:L77" si="75">J71*K71</f>
        <v>0</v>
      </c>
      <c r="M71" s="66"/>
      <c r="N71" s="66"/>
      <c r="O71" s="66">
        <v>5</v>
      </c>
      <c r="P71" s="16"/>
      <c r="Q71" s="7"/>
      <c r="R71" s="7"/>
      <c r="S71" s="16">
        <f>Z2</f>
        <v>0</v>
      </c>
      <c r="T71" s="16">
        <f t="shared" ref="T71:T77" si="76">(E71*F71)+(G71*M71)+(H71*N71)+(I71*O71)-P71-Q71-R71+S71+L71</f>
        <v>2341.2750000000001</v>
      </c>
      <c r="U71" s="8" t="s">
        <v>30</v>
      </c>
      <c r="V71" s="109">
        <v>10240148574</v>
      </c>
      <c r="W71" s="62">
        <f t="shared" ref="W71" si="77">T71+R71+Q71+P71</f>
        <v>2341.2750000000001</v>
      </c>
      <c r="X71" s="16">
        <f t="shared" ref="X71:X77" si="78">E71*8.75</f>
        <v>287.52499999999998</v>
      </c>
      <c r="Y71" s="68"/>
      <c r="Z71" s="161">
        <v>2</v>
      </c>
      <c r="AA71" s="161">
        <v>5</v>
      </c>
      <c r="AB71" s="65">
        <f t="shared" si="58"/>
        <v>7</v>
      </c>
      <c r="AC71" s="62">
        <v>8.75</v>
      </c>
      <c r="AD71" s="69" t="str">
        <f t="shared" ref="AD71:AD77" si="79">C71</f>
        <v>TAKALANI TSHINONI</v>
      </c>
    </row>
    <row r="72" spans="1:30" ht="15" x14ac:dyDescent="0.25">
      <c r="A72" s="6">
        <v>52</v>
      </c>
      <c r="B72" s="137">
        <v>476</v>
      </c>
      <c r="C72" s="8" t="s">
        <v>157</v>
      </c>
      <c r="D72" s="8"/>
      <c r="E72" s="17">
        <v>32.86</v>
      </c>
      <c r="F72" s="66">
        <f t="shared" ref="F72" si="80">AC72*AB72</f>
        <v>87.5</v>
      </c>
      <c r="G72" s="66">
        <f t="shared" ref="G72" si="81">E72*1.5</f>
        <v>49.29</v>
      </c>
      <c r="H72" s="16">
        <f t="shared" ref="H72" si="82">E72*1.5</f>
        <v>49.29</v>
      </c>
      <c r="I72" s="16">
        <f t="shared" ref="I72" si="83">E72*2</f>
        <v>65.72</v>
      </c>
      <c r="J72" s="16">
        <f t="shared" ref="J72" si="84">E72</f>
        <v>32.86</v>
      </c>
      <c r="K72" s="66"/>
      <c r="L72" s="16">
        <f t="shared" ref="L72" si="85">J72*K72</f>
        <v>0</v>
      </c>
      <c r="M72" s="66"/>
      <c r="N72" s="66">
        <v>14</v>
      </c>
      <c r="O72" s="66">
        <v>5</v>
      </c>
      <c r="P72" s="16"/>
      <c r="Q72" s="7"/>
      <c r="R72" s="7"/>
      <c r="S72" s="16">
        <f>Z2</f>
        <v>0</v>
      </c>
      <c r="T72" s="16">
        <f t="shared" si="76"/>
        <v>3893.91</v>
      </c>
      <c r="U72" s="8" t="s">
        <v>58</v>
      </c>
      <c r="V72" s="109">
        <v>51008580149</v>
      </c>
      <c r="W72" s="62">
        <f t="shared" ref="W72" si="86">T72+R72+Q72+P72</f>
        <v>3893.91</v>
      </c>
      <c r="X72" s="16">
        <f t="shared" si="78"/>
        <v>287.52499999999998</v>
      </c>
      <c r="Y72" s="68"/>
      <c r="Z72" s="161">
        <v>5</v>
      </c>
      <c r="AA72" s="161">
        <v>5</v>
      </c>
      <c r="AB72" s="65">
        <f t="shared" si="58"/>
        <v>10</v>
      </c>
      <c r="AC72" s="62">
        <v>8.75</v>
      </c>
      <c r="AD72" s="69" t="str">
        <f t="shared" si="79"/>
        <v>THOKOZANI SIBANYONI</v>
      </c>
    </row>
    <row r="73" spans="1:30" ht="15" x14ac:dyDescent="0.25">
      <c r="A73" s="6">
        <v>53</v>
      </c>
      <c r="B73" s="6">
        <v>207</v>
      </c>
      <c r="C73" s="8" t="s">
        <v>76</v>
      </c>
      <c r="D73" s="8" t="s">
        <v>50</v>
      </c>
      <c r="E73" s="17">
        <v>36</v>
      </c>
      <c r="F73" s="66">
        <f>AC73*AB73</f>
        <v>87.5</v>
      </c>
      <c r="G73" s="66">
        <f t="shared" ref="G73:G77" si="87">E73*1.5</f>
        <v>54</v>
      </c>
      <c r="H73" s="16">
        <f t="shared" ref="H73:H77" si="88">E73*1.5</f>
        <v>54</v>
      </c>
      <c r="I73" s="16">
        <f t="shared" ref="I73:I76" si="89">E73*2</f>
        <v>72</v>
      </c>
      <c r="J73" s="16">
        <f t="shared" si="74"/>
        <v>36</v>
      </c>
      <c r="K73" s="66"/>
      <c r="L73" s="16">
        <f t="shared" si="75"/>
        <v>0</v>
      </c>
      <c r="M73" s="66"/>
      <c r="N73" s="66">
        <v>9.5</v>
      </c>
      <c r="O73" s="66">
        <v>5</v>
      </c>
      <c r="P73" s="16"/>
      <c r="Q73" s="7"/>
      <c r="R73" s="7"/>
      <c r="S73" s="16"/>
      <c r="T73" s="16">
        <f t="shared" si="76"/>
        <v>4023</v>
      </c>
      <c r="U73" s="8" t="s">
        <v>83</v>
      </c>
      <c r="V73" s="109">
        <v>10277314737</v>
      </c>
      <c r="W73" s="62">
        <f t="shared" ref="W73:W77" si="90">T73+R73+Q73+P73</f>
        <v>4023</v>
      </c>
      <c r="X73" s="16">
        <f t="shared" si="78"/>
        <v>315</v>
      </c>
      <c r="Y73" s="68"/>
      <c r="Z73" s="161">
        <v>5</v>
      </c>
      <c r="AA73" s="161">
        <v>5</v>
      </c>
      <c r="AB73" s="65">
        <f t="shared" si="58"/>
        <v>10</v>
      </c>
      <c r="AC73" s="62">
        <v>8.75</v>
      </c>
      <c r="AD73" s="69" t="str">
        <f t="shared" si="79"/>
        <v>THUSO MULELU</v>
      </c>
    </row>
    <row r="74" spans="1:30" ht="15" x14ac:dyDescent="0.25">
      <c r="A74" s="6">
        <v>54</v>
      </c>
      <c r="B74" s="6">
        <v>430</v>
      </c>
      <c r="C74" s="8" t="s">
        <v>77</v>
      </c>
      <c r="D74" s="8" t="s">
        <v>50</v>
      </c>
      <c r="E74" s="17">
        <v>30.23</v>
      </c>
      <c r="F74" s="66">
        <f>AC74*AB74</f>
        <v>87.5</v>
      </c>
      <c r="G74" s="66">
        <f t="shared" si="87"/>
        <v>45.344999999999999</v>
      </c>
      <c r="H74" s="16">
        <f t="shared" si="88"/>
        <v>45.344999999999999</v>
      </c>
      <c r="I74" s="16">
        <f t="shared" si="89"/>
        <v>60.46</v>
      </c>
      <c r="J74" s="16">
        <f t="shared" si="74"/>
        <v>30.23</v>
      </c>
      <c r="K74" s="66"/>
      <c r="L74" s="16">
        <f t="shared" si="75"/>
        <v>0</v>
      </c>
      <c r="M74" s="66"/>
      <c r="N74" s="66">
        <v>7.5</v>
      </c>
      <c r="O74" s="66"/>
      <c r="P74" s="16"/>
      <c r="Q74" s="7"/>
      <c r="R74" s="7"/>
      <c r="S74" s="16"/>
      <c r="T74" s="16">
        <f t="shared" si="76"/>
        <v>2985.2125000000001</v>
      </c>
      <c r="U74" s="8" t="s">
        <v>45</v>
      </c>
      <c r="V74" s="109">
        <v>9360812798</v>
      </c>
      <c r="W74" s="62">
        <f t="shared" si="90"/>
        <v>2985.2125000000001</v>
      </c>
      <c r="X74" s="16">
        <f t="shared" si="78"/>
        <v>264.51249999999999</v>
      </c>
      <c r="Y74" s="68"/>
      <c r="Z74" s="161">
        <v>5</v>
      </c>
      <c r="AA74" s="161">
        <v>5</v>
      </c>
      <c r="AB74" s="65">
        <f t="shared" si="58"/>
        <v>10</v>
      </c>
      <c r="AC74" s="62">
        <v>8.75</v>
      </c>
      <c r="AD74" s="69" t="str">
        <f t="shared" si="79"/>
        <v>TSULUFELO NCUBE</v>
      </c>
    </row>
    <row r="75" spans="1:30" ht="15" x14ac:dyDescent="0.25">
      <c r="A75" s="6">
        <v>55</v>
      </c>
      <c r="B75" s="6">
        <v>431</v>
      </c>
      <c r="C75" s="8" t="s">
        <v>78</v>
      </c>
      <c r="D75" s="8" t="s">
        <v>50</v>
      </c>
      <c r="E75" s="17">
        <v>33</v>
      </c>
      <c r="F75" s="66">
        <f>AC75*AB75</f>
        <v>78.75</v>
      </c>
      <c r="G75" s="66">
        <f t="shared" si="87"/>
        <v>49.5</v>
      </c>
      <c r="H75" s="16">
        <f t="shared" si="88"/>
        <v>49.5</v>
      </c>
      <c r="I75" s="16">
        <f t="shared" si="89"/>
        <v>66</v>
      </c>
      <c r="J75" s="16">
        <f t="shared" si="74"/>
        <v>33</v>
      </c>
      <c r="K75" s="66"/>
      <c r="L75" s="16">
        <f t="shared" si="75"/>
        <v>0</v>
      </c>
      <c r="M75" s="66"/>
      <c r="N75" s="66">
        <v>9</v>
      </c>
      <c r="O75" s="66">
        <v>5</v>
      </c>
      <c r="P75" s="16"/>
      <c r="Q75" s="7">
        <f>Q11</f>
        <v>20</v>
      </c>
      <c r="R75" s="7">
        <f>R11</f>
        <v>18.307857142857141</v>
      </c>
      <c r="S75" s="16">
        <f>Z2</f>
        <v>0</v>
      </c>
      <c r="T75" s="16">
        <f t="shared" si="76"/>
        <v>3335.9421428571427</v>
      </c>
      <c r="U75" s="8" t="s">
        <v>36</v>
      </c>
      <c r="V75" s="109">
        <v>1717666335</v>
      </c>
      <c r="W75" s="62">
        <f t="shared" si="90"/>
        <v>3374.25</v>
      </c>
      <c r="X75" s="16">
        <f t="shared" si="78"/>
        <v>288.75</v>
      </c>
      <c r="Y75" s="68"/>
      <c r="Z75" s="161">
        <v>4</v>
      </c>
      <c r="AA75" s="161">
        <v>5</v>
      </c>
      <c r="AB75" s="65">
        <f t="shared" si="58"/>
        <v>9</v>
      </c>
      <c r="AC75" s="62">
        <v>8.75</v>
      </c>
      <c r="AD75" s="69" t="str">
        <f t="shared" si="79"/>
        <v>XOLANI MTSHWENI</v>
      </c>
    </row>
    <row r="76" spans="1:30" ht="15" x14ac:dyDescent="0.25">
      <c r="A76" s="6">
        <v>56</v>
      </c>
      <c r="B76" s="6">
        <v>428</v>
      </c>
      <c r="C76" s="8" t="s">
        <v>79</v>
      </c>
      <c r="D76" s="8" t="s">
        <v>32</v>
      </c>
      <c r="E76" s="17">
        <v>32.86</v>
      </c>
      <c r="F76" s="66">
        <f>AC76*AB76</f>
        <v>87.5</v>
      </c>
      <c r="G76" s="66">
        <f t="shared" si="87"/>
        <v>49.29</v>
      </c>
      <c r="H76" s="16">
        <f t="shared" si="88"/>
        <v>49.29</v>
      </c>
      <c r="I76" s="16">
        <f t="shared" si="89"/>
        <v>65.72</v>
      </c>
      <c r="J76" s="16">
        <f t="shared" si="74"/>
        <v>32.86</v>
      </c>
      <c r="K76" s="66"/>
      <c r="L76" s="16">
        <f t="shared" si="75"/>
        <v>0</v>
      </c>
      <c r="M76" s="66"/>
      <c r="N76" s="66">
        <v>14.5</v>
      </c>
      <c r="O76" s="66"/>
      <c r="P76" s="16"/>
      <c r="Q76" s="7"/>
      <c r="R76" s="7"/>
      <c r="S76" s="16">
        <f>Z2</f>
        <v>0</v>
      </c>
      <c r="T76" s="16">
        <f t="shared" si="76"/>
        <v>3589.9549999999999</v>
      </c>
      <c r="U76" s="8" t="s">
        <v>33</v>
      </c>
      <c r="V76" s="109">
        <v>1315463210</v>
      </c>
      <c r="W76" s="62">
        <f t="shared" si="90"/>
        <v>3589.9549999999999</v>
      </c>
      <c r="X76" s="16">
        <f t="shared" si="78"/>
        <v>287.52499999999998</v>
      </c>
      <c r="Y76" s="68"/>
      <c r="Z76" s="161">
        <v>5</v>
      </c>
      <c r="AA76" s="161">
        <v>5</v>
      </c>
      <c r="AB76" s="65">
        <f t="shared" si="58"/>
        <v>10</v>
      </c>
      <c r="AC76" s="62">
        <v>8.75</v>
      </c>
      <c r="AD76" s="69" t="str">
        <f t="shared" si="79"/>
        <v>ZAZI NDLOVU</v>
      </c>
    </row>
    <row r="77" spans="1:30" ht="15" x14ac:dyDescent="0.25">
      <c r="A77" s="6">
        <v>57</v>
      </c>
      <c r="B77" s="6">
        <v>339</v>
      </c>
      <c r="C77" s="8" t="s">
        <v>80</v>
      </c>
      <c r="D77" s="50" t="s">
        <v>29</v>
      </c>
      <c r="E77" s="17">
        <v>31.42</v>
      </c>
      <c r="F77" s="66">
        <f>AC77*AB77</f>
        <v>87.5</v>
      </c>
      <c r="G77" s="66">
        <f t="shared" si="87"/>
        <v>47.13</v>
      </c>
      <c r="H77" s="16">
        <f t="shared" si="88"/>
        <v>47.13</v>
      </c>
      <c r="I77" s="16">
        <f>E77*2</f>
        <v>62.84</v>
      </c>
      <c r="J77" s="16">
        <f t="shared" si="74"/>
        <v>31.42</v>
      </c>
      <c r="K77" s="66"/>
      <c r="L77" s="16">
        <f t="shared" si="75"/>
        <v>0</v>
      </c>
      <c r="M77" s="66"/>
      <c r="N77" s="66">
        <v>7.5</v>
      </c>
      <c r="O77" s="66"/>
      <c r="P77" s="16"/>
      <c r="Q77" s="7"/>
      <c r="R77" s="7"/>
      <c r="S77" s="16">
        <f>Z2</f>
        <v>0</v>
      </c>
      <c r="T77" s="16">
        <f t="shared" si="76"/>
        <v>3102.7249999999999</v>
      </c>
      <c r="U77" s="8" t="s">
        <v>36</v>
      </c>
      <c r="V77" s="109">
        <v>1419440061</v>
      </c>
      <c r="W77" s="62">
        <f t="shared" si="90"/>
        <v>3102.7249999999999</v>
      </c>
      <c r="X77" s="17">
        <f t="shared" si="78"/>
        <v>274.92500000000001</v>
      </c>
      <c r="Y77" s="68"/>
      <c r="Z77" s="161">
        <v>5</v>
      </c>
      <c r="AA77" s="161">
        <v>5</v>
      </c>
      <c r="AB77" s="65">
        <f t="shared" si="58"/>
        <v>10</v>
      </c>
      <c r="AC77" s="62">
        <v>8.75</v>
      </c>
      <c r="AD77" s="8" t="str">
        <f t="shared" si="79"/>
        <v>ZONGEZILE NYEMBEZI</v>
      </c>
    </row>
    <row r="78" spans="1:30" ht="15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108"/>
      <c r="O78" s="108"/>
      <c r="P78" s="83"/>
      <c r="Q78" s="83"/>
      <c r="R78" s="83"/>
      <c r="S78" s="83"/>
      <c r="U78" s="114"/>
      <c r="V78" s="116"/>
      <c r="W78" s="84"/>
      <c r="X78" s="85"/>
      <c r="Y78" s="150"/>
      <c r="Z78" s="150"/>
      <c r="AA78" s="150"/>
      <c r="AB78" s="86"/>
      <c r="AC78" s="84"/>
      <c r="AD78" s="87"/>
    </row>
    <row r="79" spans="1:30" ht="15" x14ac:dyDescent="0.25">
      <c r="A79" s="6">
        <v>58</v>
      </c>
      <c r="B79" s="6"/>
      <c r="C79" s="8" t="s">
        <v>81</v>
      </c>
      <c r="D79" s="50" t="s">
        <v>82</v>
      </c>
      <c r="E79" s="16">
        <v>30.23</v>
      </c>
      <c r="F79" s="66">
        <f>AC79*AB79</f>
        <v>0</v>
      </c>
      <c r="G79" s="66">
        <f>E79*1.5</f>
        <v>45.344999999999999</v>
      </c>
      <c r="H79" s="16">
        <f t="shared" ref="H79" si="91">X79/8*1.5</f>
        <v>49.596093749999994</v>
      </c>
      <c r="I79" s="16">
        <f>E79*2</f>
        <v>60.46</v>
      </c>
      <c r="J79" s="16">
        <f t="shared" ref="J79" si="92">E79</f>
        <v>30.23</v>
      </c>
      <c r="K79" s="66"/>
      <c r="L79" s="16">
        <f t="shared" ref="L79" si="93">J79*K79</f>
        <v>0</v>
      </c>
      <c r="M79" s="66"/>
      <c r="N79" s="68"/>
      <c r="O79" s="66"/>
      <c r="P79" s="16"/>
      <c r="Q79" s="16"/>
      <c r="R79" s="16"/>
      <c r="S79" s="16"/>
      <c r="T79" s="16">
        <f>(E79*F79)+(G79*M79)+(H79*N79)+(I79*O79)-P79-Q79-R79+S79+L79</f>
        <v>0</v>
      </c>
      <c r="U79" s="21" t="s">
        <v>83</v>
      </c>
      <c r="V79" s="109" t="s">
        <v>84</v>
      </c>
      <c r="W79" s="62">
        <f>T79+R79+Q79+P79</f>
        <v>0</v>
      </c>
      <c r="X79" s="14">
        <f>E79*8.75</f>
        <v>264.51249999999999</v>
      </c>
      <c r="Y79" s="68"/>
      <c r="Z79" s="68"/>
      <c r="AA79" s="68"/>
      <c r="AB79" s="65"/>
      <c r="AC79" s="62">
        <v>8.75</v>
      </c>
      <c r="AD79" s="50" t="str">
        <f>C79</f>
        <v>MERCY NDLOVU</v>
      </c>
    </row>
    <row r="80" spans="1:30" x14ac:dyDescent="0.2">
      <c r="V80" s="117"/>
      <c r="X80" s="73"/>
      <c r="Y80" s="4"/>
      <c r="Z80" s="4"/>
      <c r="AA80" s="4"/>
      <c r="AD80" s="5"/>
    </row>
    <row r="81" spans="1:30" ht="15" x14ac:dyDescent="0.25">
      <c r="A81" s="1"/>
      <c r="B81" s="1"/>
      <c r="C81" s="10"/>
      <c r="D81" s="10"/>
      <c r="E81" s="4"/>
      <c r="P81" s="7">
        <f>SUM(P9:P79)</f>
        <v>322.5</v>
      </c>
      <c r="Q81" s="7">
        <f>SUM(Q9:Q79)</f>
        <v>280</v>
      </c>
      <c r="R81" s="7">
        <f>SUM(R9:R79)</f>
        <v>256.30999999999995</v>
      </c>
      <c r="S81" s="7">
        <f>SUM(S9:S79)</f>
        <v>0</v>
      </c>
      <c r="T81" s="7">
        <f>SUM(T9:T79)</f>
        <v>207642.96500000008</v>
      </c>
      <c r="U81" s="26"/>
      <c r="V81" s="117"/>
      <c r="X81" s="4"/>
      <c r="Y81" s="4"/>
      <c r="Z81" s="4"/>
      <c r="AA81" s="4"/>
      <c r="AD81" s="5"/>
    </row>
    <row r="82" spans="1:30" ht="15" x14ac:dyDescent="0.25">
      <c r="A82" s="1"/>
      <c r="B82" s="1"/>
      <c r="C82" s="10"/>
      <c r="D82" s="10"/>
      <c r="E82" s="4"/>
      <c r="P82" s="11"/>
      <c r="Q82" s="11"/>
      <c r="R82" s="11"/>
      <c r="S82" s="11"/>
      <c r="T82" s="11"/>
      <c r="U82" s="26"/>
      <c r="W82" s="29"/>
      <c r="X82" s="3"/>
      <c r="Y82" s="3"/>
      <c r="Z82" s="3"/>
      <c r="AA82" s="3"/>
      <c r="AD82" s="5"/>
    </row>
    <row r="83" spans="1:30" ht="26.25" customHeight="1" x14ac:dyDescent="0.2">
      <c r="A83" s="202" t="s">
        <v>6</v>
      </c>
      <c r="B83" s="202" t="s">
        <v>147</v>
      </c>
      <c r="C83" s="234" t="s">
        <v>85</v>
      </c>
      <c r="D83" s="205" t="s">
        <v>8</v>
      </c>
      <c r="E83" s="226" t="s">
        <v>9</v>
      </c>
      <c r="F83" s="202" t="s">
        <v>10</v>
      </c>
      <c r="G83" s="203" t="s">
        <v>11</v>
      </c>
      <c r="H83" s="221" t="s">
        <v>12</v>
      </c>
      <c r="I83" s="204" t="s">
        <v>13</v>
      </c>
      <c r="J83" s="221" t="s">
        <v>151</v>
      </c>
      <c r="K83" s="218" t="s">
        <v>152</v>
      </c>
      <c r="L83" s="218" t="s">
        <v>153</v>
      </c>
      <c r="M83" s="206" t="s">
        <v>14</v>
      </c>
      <c r="N83" s="204" t="s">
        <v>15</v>
      </c>
      <c r="O83" s="204" t="s">
        <v>16</v>
      </c>
      <c r="P83" s="232" t="s">
        <v>17</v>
      </c>
      <c r="Q83" s="232" t="s">
        <v>18</v>
      </c>
      <c r="R83" s="232" t="s">
        <v>19</v>
      </c>
      <c r="S83" s="203" t="s">
        <v>148</v>
      </c>
      <c r="T83" s="232" t="s">
        <v>20</v>
      </c>
      <c r="U83" s="202" t="s">
        <v>22</v>
      </c>
      <c r="V83" s="201" t="s">
        <v>23</v>
      </c>
      <c r="W83" s="181" t="s">
        <v>24</v>
      </c>
      <c r="X83" s="181" t="s">
        <v>25</v>
      </c>
      <c r="Y83" s="181" t="s">
        <v>161</v>
      </c>
      <c r="Z83" s="181" t="s">
        <v>162</v>
      </c>
      <c r="AA83" s="181" t="s">
        <v>163</v>
      </c>
      <c r="AB83" s="198" t="s">
        <v>26</v>
      </c>
      <c r="AC83" s="181" t="s">
        <v>27</v>
      </c>
      <c r="AD83" s="181" t="s">
        <v>28</v>
      </c>
    </row>
    <row r="84" spans="1:30" ht="5.25" customHeight="1" x14ac:dyDescent="0.2">
      <c r="A84" s="202"/>
      <c r="B84" s="202"/>
      <c r="C84" s="235"/>
      <c r="D84" s="228"/>
      <c r="E84" s="226"/>
      <c r="F84" s="202"/>
      <c r="G84" s="203"/>
      <c r="H84" s="222"/>
      <c r="I84" s="204"/>
      <c r="J84" s="222"/>
      <c r="K84" s="219"/>
      <c r="L84" s="219"/>
      <c r="M84" s="206"/>
      <c r="N84" s="204"/>
      <c r="O84" s="204"/>
      <c r="P84" s="232"/>
      <c r="Q84" s="232"/>
      <c r="R84" s="232"/>
      <c r="S84" s="203"/>
      <c r="T84" s="232"/>
      <c r="U84" s="202"/>
      <c r="V84" s="201"/>
      <c r="W84" s="182"/>
      <c r="X84" s="182"/>
      <c r="Y84" s="182"/>
      <c r="Z84" s="182"/>
      <c r="AA84" s="182"/>
      <c r="AB84" s="199"/>
      <c r="AC84" s="182"/>
      <c r="AD84" s="182"/>
    </row>
    <row r="85" spans="1:30" s="1" customFormat="1" ht="15" x14ac:dyDescent="0.25">
      <c r="A85" s="202"/>
      <c r="B85" s="202"/>
      <c r="C85" s="12" t="s">
        <v>28</v>
      </c>
      <c r="D85" s="229"/>
      <c r="E85" s="226"/>
      <c r="F85" s="202"/>
      <c r="G85" s="203"/>
      <c r="H85" s="223"/>
      <c r="I85" s="204"/>
      <c r="J85" s="223"/>
      <c r="K85" s="220"/>
      <c r="L85" s="220"/>
      <c r="M85" s="206"/>
      <c r="N85" s="204"/>
      <c r="O85" s="204"/>
      <c r="P85" s="232"/>
      <c r="Q85" s="232"/>
      <c r="R85" s="232"/>
      <c r="S85" s="221"/>
      <c r="T85" s="232"/>
      <c r="U85" s="202"/>
      <c r="V85" s="201"/>
      <c r="W85" s="183"/>
      <c r="X85" s="183"/>
      <c r="Y85" s="183"/>
      <c r="Z85" s="183"/>
      <c r="AA85" s="183"/>
      <c r="AB85" s="200"/>
      <c r="AC85" s="183"/>
      <c r="AD85" s="183"/>
    </row>
    <row r="86" spans="1:30" ht="15" x14ac:dyDescent="0.25">
      <c r="A86" s="6">
        <v>1</v>
      </c>
      <c r="B86" s="6">
        <v>0</v>
      </c>
      <c r="C86" s="8" t="s">
        <v>168</v>
      </c>
      <c r="D86" s="50" t="s">
        <v>29</v>
      </c>
      <c r="E86" s="17">
        <v>36.18</v>
      </c>
      <c r="F86" s="66">
        <f>AC86*AB86</f>
        <v>43.75</v>
      </c>
      <c r="G86" s="66">
        <f t="shared" ref="G86" si="94">E86*1.5</f>
        <v>54.269999999999996</v>
      </c>
      <c r="H86" s="16">
        <f t="shared" ref="H86" si="95">E86*1.5</f>
        <v>54.269999999999996</v>
      </c>
      <c r="I86" s="16">
        <f>E86*2</f>
        <v>72.36</v>
      </c>
      <c r="J86" s="16">
        <f t="shared" ref="J86" si="96">E86</f>
        <v>36.18</v>
      </c>
      <c r="K86" s="66"/>
      <c r="L86" s="16"/>
      <c r="M86" s="66"/>
      <c r="N86" s="66"/>
      <c r="O86" s="66"/>
      <c r="P86" s="16"/>
      <c r="Q86" s="7"/>
      <c r="R86" s="7"/>
      <c r="S86" s="16"/>
      <c r="T86" s="16">
        <f t="shared" ref="T86" si="97">(E86*F86)+(G86*M86)+(H86*N86)+(I86*O86)-P86-Q86-R86+S86+L86</f>
        <v>1582.875</v>
      </c>
      <c r="U86" s="8"/>
      <c r="V86" s="109"/>
      <c r="W86" s="62">
        <f t="shared" ref="W86" si="98">T86+R86+Q86+P86</f>
        <v>1582.875</v>
      </c>
      <c r="X86" s="17">
        <f t="shared" ref="X86" si="99">E86*8.75</f>
        <v>316.57499999999999</v>
      </c>
      <c r="Y86" s="68"/>
      <c r="Z86" s="161">
        <v>0</v>
      </c>
      <c r="AA86" s="161">
        <v>5</v>
      </c>
      <c r="AB86" s="65">
        <f t="shared" ref="AB86" si="100">Y86+Z86+AA86</f>
        <v>5</v>
      </c>
      <c r="AC86" s="62">
        <v>8.75</v>
      </c>
      <c r="AD86" s="8" t="str">
        <f t="shared" ref="AD86" si="101">C86</f>
        <v>DAVID RAPHETYE</v>
      </c>
    </row>
    <row r="87" spans="1:30" ht="15" x14ac:dyDescent="0.25">
      <c r="A87" s="6">
        <v>2</v>
      </c>
      <c r="B87" s="6">
        <v>0</v>
      </c>
      <c r="C87" s="8" t="s">
        <v>169</v>
      </c>
      <c r="D87" s="50" t="s">
        <v>29</v>
      </c>
      <c r="E87" s="17">
        <v>36.18</v>
      </c>
      <c r="F87" s="66">
        <f>AC87*AB87</f>
        <v>43.75</v>
      </c>
      <c r="G87" s="66">
        <f t="shared" ref="G87:G88" si="102">E87*1.5</f>
        <v>54.269999999999996</v>
      </c>
      <c r="H87" s="16">
        <f t="shared" ref="H87:H88" si="103">E87*1.5</f>
        <v>54.269999999999996</v>
      </c>
      <c r="I87" s="16">
        <f>E87*2</f>
        <v>72.36</v>
      </c>
      <c r="J87" s="16">
        <f t="shared" ref="J87:J88" si="104">E87</f>
        <v>36.18</v>
      </c>
      <c r="K87" s="66"/>
      <c r="L87" s="16"/>
      <c r="M87" s="66"/>
      <c r="N87" s="66"/>
      <c r="O87" s="66"/>
      <c r="P87" s="16"/>
      <c r="Q87" s="7"/>
      <c r="R87" s="7"/>
      <c r="S87" s="16"/>
      <c r="T87" s="16">
        <f t="shared" ref="T87:T88" si="105">(E87*F87)+(G87*M87)+(H87*N87)+(I87*O87)-P87-Q87-R87+S87+L87</f>
        <v>1582.875</v>
      </c>
      <c r="U87" s="8"/>
      <c r="V87" s="109"/>
      <c r="W87" s="62">
        <f t="shared" ref="W87:W88" si="106">T87+R87+Q87+P87</f>
        <v>1582.875</v>
      </c>
      <c r="X87" s="17">
        <f t="shared" ref="X87:X88" si="107">E87*8.75</f>
        <v>316.57499999999999</v>
      </c>
      <c r="Y87" s="68"/>
      <c r="Z87" s="161">
        <v>0</v>
      </c>
      <c r="AA87" s="161">
        <v>5</v>
      </c>
      <c r="AB87" s="65">
        <f t="shared" ref="AB87:AB88" si="108">Y87+Z87+AA87</f>
        <v>5</v>
      </c>
      <c r="AC87" s="62">
        <v>8.75</v>
      </c>
      <c r="AD87" s="8" t="str">
        <f t="shared" ref="AD87:AD88" si="109">C87</f>
        <v>SIPHO KHUMALO</v>
      </c>
    </row>
    <row r="88" spans="1:30" ht="15" x14ac:dyDescent="0.25">
      <c r="A88" s="6">
        <v>3</v>
      </c>
      <c r="B88" s="6">
        <v>0</v>
      </c>
      <c r="C88" s="8" t="s">
        <v>170</v>
      </c>
      <c r="D88" s="50" t="s">
        <v>29</v>
      </c>
      <c r="E88" s="17">
        <v>36.18</v>
      </c>
      <c r="F88" s="66">
        <f>AC88*AB88</f>
        <v>43.75</v>
      </c>
      <c r="G88" s="66">
        <f t="shared" si="102"/>
        <v>54.269999999999996</v>
      </c>
      <c r="H88" s="16">
        <f t="shared" si="103"/>
        <v>54.269999999999996</v>
      </c>
      <c r="I88" s="16">
        <f>E88*2</f>
        <v>72.36</v>
      </c>
      <c r="J88" s="16">
        <f t="shared" si="104"/>
        <v>36.18</v>
      </c>
      <c r="K88" s="66"/>
      <c r="L88" s="16"/>
      <c r="M88" s="66"/>
      <c r="N88" s="66"/>
      <c r="O88" s="66"/>
      <c r="P88" s="16"/>
      <c r="Q88" s="7"/>
      <c r="R88" s="7"/>
      <c r="S88" s="16"/>
      <c r="T88" s="16">
        <f t="shared" si="105"/>
        <v>1582.875</v>
      </c>
      <c r="U88" s="8"/>
      <c r="V88" s="109"/>
      <c r="W88" s="62">
        <f t="shared" si="106"/>
        <v>1582.875</v>
      </c>
      <c r="X88" s="17">
        <f t="shared" si="107"/>
        <v>316.57499999999999</v>
      </c>
      <c r="Y88" s="68"/>
      <c r="Z88" s="161">
        <v>0</v>
      </c>
      <c r="AA88" s="161">
        <v>5</v>
      </c>
      <c r="AB88" s="65">
        <f t="shared" si="108"/>
        <v>5</v>
      </c>
      <c r="AC88" s="62">
        <v>8.75</v>
      </c>
      <c r="AD88" s="8" t="str">
        <f t="shared" si="109"/>
        <v>TIMOTHY MASETE</v>
      </c>
    </row>
    <row r="89" spans="1:30" ht="15" x14ac:dyDescent="0.25">
      <c r="A89" s="137">
        <v>4</v>
      </c>
      <c r="B89" s="137">
        <v>0</v>
      </c>
      <c r="C89" s="139"/>
      <c r="D89" s="125"/>
      <c r="E89" s="17"/>
      <c r="F89" s="66"/>
      <c r="G89" s="66"/>
      <c r="H89" s="16"/>
      <c r="I89" s="16"/>
      <c r="J89" s="16"/>
      <c r="K89" s="66"/>
      <c r="L89" s="16"/>
      <c r="M89" s="66"/>
      <c r="N89" s="66"/>
      <c r="O89" s="66"/>
      <c r="P89" s="16"/>
      <c r="Q89" s="7"/>
      <c r="R89" s="7"/>
      <c r="S89" s="16"/>
      <c r="T89" s="16"/>
      <c r="U89" s="8"/>
      <c r="V89" s="109"/>
      <c r="W89" s="62"/>
      <c r="X89" s="16"/>
      <c r="Y89" s="68"/>
      <c r="Z89" s="68"/>
      <c r="AA89" s="68"/>
      <c r="AB89" s="65"/>
      <c r="AC89" s="62"/>
      <c r="AD89" s="69"/>
    </row>
    <row r="90" spans="1:30" ht="15" x14ac:dyDescent="0.25">
      <c r="A90" s="137"/>
      <c r="B90" s="137"/>
      <c r="C90" s="139"/>
      <c r="D90" s="125"/>
      <c r="E90" s="17"/>
      <c r="F90" s="66"/>
      <c r="G90" s="66"/>
      <c r="H90" s="16"/>
      <c r="I90" s="16"/>
      <c r="J90" s="16"/>
      <c r="K90" s="66"/>
      <c r="L90" s="16"/>
      <c r="M90" s="66"/>
      <c r="N90" s="66"/>
      <c r="O90" s="66"/>
      <c r="P90" s="16"/>
      <c r="Q90" s="7"/>
      <c r="R90" s="7"/>
      <c r="S90" s="16"/>
      <c r="T90" s="16"/>
      <c r="U90" s="8"/>
      <c r="V90" s="109"/>
      <c r="W90" s="62"/>
      <c r="X90" s="16"/>
      <c r="Y90" s="68"/>
      <c r="Z90" s="68"/>
      <c r="AA90" s="68"/>
      <c r="AB90" s="65"/>
      <c r="AC90" s="62"/>
      <c r="AD90" s="69"/>
    </row>
    <row r="91" spans="1:30" ht="15" x14ac:dyDescent="0.25">
      <c r="A91" s="6"/>
      <c r="B91" s="71"/>
      <c r="C91" s="138"/>
      <c r="D91" s="8"/>
      <c r="E91" s="17"/>
      <c r="F91" s="66"/>
      <c r="G91" s="66"/>
      <c r="H91" s="16"/>
      <c r="I91" s="16"/>
      <c r="J91" s="16"/>
      <c r="K91" s="66"/>
      <c r="L91" s="16"/>
      <c r="M91" s="66"/>
      <c r="N91" s="66"/>
      <c r="O91" s="66"/>
      <c r="P91" s="16"/>
      <c r="Q91" s="7"/>
      <c r="R91" s="7"/>
      <c r="S91" s="16"/>
      <c r="T91" s="16"/>
      <c r="U91" s="8"/>
      <c r="V91" s="109"/>
      <c r="W91" s="62"/>
      <c r="X91" s="16"/>
      <c r="Y91" s="68"/>
      <c r="Z91" s="68"/>
      <c r="AA91" s="68"/>
      <c r="AB91" s="65"/>
      <c r="AC91" s="62"/>
      <c r="AD91" s="69"/>
    </row>
    <row r="92" spans="1:30" ht="15" x14ac:dyDescent="0.25">
      <c r="A92" s="6"/>
      <c r="B92" s="6"/>
      <c r="C92" s="8"/>
      <c r="D92" s="8"/>
      <c r="E92" s="17"/>
      <c r="F92" s="66"/>
      <c r="G92" s="66"/>
      <c r="H92" s="16"/>
      <c r="I92" s="16"/>
      <c r="J92" s="16"/>
      <c r="K92" s="66"/>
      <c r="L92" s="16"/>
      <c r="M92" s="66"/>
      <c r="N92" s="66"/>
      <c r="O92" s="66"/>
      <c r="P92" s="16"/>
      <c r="Q92" s="7"/>
      <c r="R92" s="7"/>
      <c r="S92" s="16"/>
      <c r="T92" s="16"/>
      <c r="U92" s="8"/>
      <c r="V92" s="109"/>
      <c r="W92" s="62"/>
      <c r="X92" s="16"/>
      <c r="Y92" s="68"/>
      <c r="Z92" s="68"/>
      <c r="AA92" s="68"/>
      <c r="AB92" s="65"/>
      <c r="AC92" s="62"/>
      <c r="AD92" s="69"/>
    </row>
    <row r="93" spans="1:30" ht="15" x14ac:dyDescent="0.25">
      <c r="A93" s="6"/>
      <c r="B93" s="6"/>
      <c r="C93" s="8"/>
      <c r="D93" s="8"/>
      <c r="E93" s="17"/>
      <c r="F93" s="66"/>
      <c r="G93" s="66"/>
      <c r="H93" s="16"/>
      <c r="I93" s="16"/>
      <c r="J93" s="16"/>
      <c r="K93" s="16"/>
      <c r="L93" s="16"/>
      <c r="M93" s="66"/>
      <c r="N93" s="66"/>
      <c r="O93" s="66"/>
      <c r="P93" s="16"/>
      <c r="Q93" s="7"/>
      <c r="R93" s="7"/>
      <c r="S93" s="16"/>
      <c r="T93" s="16"/>
      <c r="U93" s="8"/>
      <c r="V93" s="109"/>
      <c r="W93" s="62"/>
      <c r="X93" s="16"/>
      <c r="Y93" s="66"/>
      <c r="Z93" s="66"/>
      <c r="AA93" s="66"/>
      <c r="AB93" s="62"/>
      <c r="AC93" s="62"/>
      <c r="AD93" s="8"/>
    </row>
    <row r="94" spans="1:30" ht="15" x14ac:dyDescent="0.25">
      <c r="A94" s="6"/>
      <c r="B94" s="6"/>
      <c r="C94" s="8"/>
      <c r="D94" s="8"/>
      <c r="E94" s="17"/>
      <c r="F94" s="66"/>
      <c r="G94" s="66"/>
      <c r="H94" s="16"/>
      <c r="I94" s="16"/>
      <c r="J94" s="16"/>
      <c r="K94" s="16"/>
      <c r="L94" s="16"/>
      <c r="M94" s="66"/>
      <c r="N94" s="66"/>
      <c r="O94" s="66"/>
      <c r="P94" s="16"/>
      <c r="Q94" s="7"/>
      <c r="R94" s="7"/>
      <c r="S94" s="16"/>
      <c r="T94" s="16"/>
      <c r="U94" s="8"/>
      <c r="V94" s="109"/>
      <c r="W94" s="62"/>
      <c r="X94" s="16"/>
      <c r="Y94" s="66"/>
      <c r="Z94" s="66"/>
      <c r="AA94" s="66"/>
      <c r="AB94" s="65"/>
      <c r="AC94" s="62"/>
      <c r="AD94" s="69"/>
    </row>
    <row r="96" spans="1:30" ht="15" x14ac:dyDescent="0.25">
      <c r="A96" s="202"/>
      <c r="B96" s="151"/>
      <c r="C96" s="243" t="s">
        <v>17</v>
      </c>
      <c r="D96" s="244"/>
      <c r="E96" s="202" t="s">
        <v>154</v>
      </c>
      <c r="P96" s="7">
        <f t="shared" ref="P96:S96" si="110">SUM(P86:P94)</f>
        <v>0</v>
      </c>
      <c r="Q96" s="7">
        <f t="shared" si="110"/>
        <v>0</v>
      </c>
      <c r="R96" s="7">
        <f t="shared" si="110"/>
        <v>0</v>
      </c>
      <c r="S96" s="7">
        <f t="shared" si="110"/>
        <v>0</v>
      </c>
      <c r="T96" s="7">
        <f>SUM(T86:T94)</f>
        <v>4748.625</v>
      </c>
      <c r="U96" s="4"/>
    </row>
    <row r="97" spans="1:22" ht="15" x14ac:dyDescent="0.25">
      <c r="A97" s="202"/>
      <c r="B97" s="152"/>
      <c r="C97" s="239" t="s">
        <v>92</v>
      </c>
      <c r="D97" s="240"/>
      <c r="E97" s="202"/>
    </row>
    <row r="98" spans="1:22" ht="15" x14ac:dyDescent="0.25">
      <c r="A98" s="6">
        <v>1</v>
      </c>
      <c r="B98" s="137"/>
      <c r="C98" s="135"/>
      <c r="D98" s="136"/>
      <c r="E98" s="160"/>
      <c r="F98" s="10"/>
      <c r="H98" s="238" t="s">
        <v>93</v>
      </c>
      <c r="I98" s="238"/>
      <c r="J98" s="238"/>
      <c r="K98" s="238"/>
      <c r="L98" s="238"/>
      <c r="M98" s="238"/>
      <c r="N98" s="238"/>
      <c r="O98" s="123"/>
      <c r="P98" s="7">
        <f>P81+P96</f>
        <v>322.5</v>
      </c>
      <c r="Q98" s="7">
        <f>Q81+Q96</f>
        <v>280</v>
      </c>
      <c r="R98" s="7">
        <f>R81+R96</f>
        <v>256.30999999999995</v>
      </c>
      <c r="S98" s="7">
        <f>S81+S96</f>
        <v>0</v>
      </c>
      <c r="T98" s="7">
        <f>T81</f>
        <v>207642.96500000008</v>
      </c>
    </row>
    <row r="99" spans="1:22" ht="15" x14ac:dyDescent="0.25">
      <c r="A99" s="6">
        <v>2</v>
      </c>
      <c r="B99" s="137"/>
      <c r="C99" s="124"/>
      <c r="D99" s="125"/>
      <c r="E99" s="160"/>
      <c r="H99" s="238" t="s">
        <v>94</v>
      </c>
      <c r="I99" s="238"/>
      <c r="J99" s="238"/>
      <c r="K99" s="238"/>
      <c r="L99" s="238"/>
      <c r="M99" s="238"/>
      <c r="N99" s="238"/>
      <c r="O99" s="123"/>
      <c r="P99" s="7">
        <f>P96</f>
        <v>0</v>
      </c>
      <c r="Q99" s="7">
        <f>Q96</f>
        <v>0</v>
      </c>
      <c r="R99" s="7">
        <f>R96</f>
        <v>0</v>
      </c>
      <c r="S99" s="7">
        <f>S96</f>
        <v>0</v>
      </c>
      <c r="T99" s="7">
        <f>T96</f>
        <v>4748.625</v>
      </c>
    </row>
    <row r="100" spans="1:22" ht="15" x14ac:dyDescent="0.25">
      <c r="A100" s="6">
        <v>3</v>
      </c>
      <c r="B100" s="137"/>
      <c r="C100" s="124"/>
      <c r="D100" s="125"/>
      <c r="E100" s="160"/>
      <c r="H100" s="238" t="s">
        <v>95</v>
      </c>
      <c r="I100" s="238"/>
      <c r="J100" s="238"/>
      <c r="K100" s="238"/>
      <c r="L100" s="238"/>
      <c r="M100" s="238"/>
      <c r="N100" s="238"/>
      <c r="O100" s="123"/>
      <c r="P100" s="7">
        <f t="shared" ref="P100:S100" si="111">P98+P99</f>
        <v>322.5</v>
      </c>
      <c r="Q100" s="7">
        <f t="shared" si="111"/>
        <v>280</v>
      </c>
      <c r="R100" s="7">
        <f t="shared" si="111"/>
        <v>256.30999999999995</v>
      </c>
      <c r="S100" s="7">
        <f t="shared" si="111"/>
        <v>0</v>
      </c>
      <c r="T100" s="7">
        <f>T98+T99</f>
        <v>212391.59000000008</v>
      </c>
    </row>
    <row r="101" spans="1:22" ht="15" x14ac:dyDescent="0.25">
      <c r="A101" s="6">
        <v>4</v>
      </c>
      <c r="B101" s="137"/>
      <c r="C101" s="124"/>
      <c r="D101" s="125"/>
      <c r="E101" s="160"/>
      <c r="H101" s="31"/>
      <c r="I101" s="31"/>
      <c r="J101" s="31"/>
      <c r="K101" s="31"/>
      <c r="L101" s="31"/>
      <c r="M101" s="74"/>
      <c r="N101" s="31"/>
      <c r="O101" s="31"/>
      <c r="P101" s="23" t="s">
        <v>17</v>
      </c>
      <c r="Q101" s="23" t="s">
        <v>18</v>
      </c>
      <c r="R101" s="23" t="s">
        <v>19</v>
      </c>
      <c r="S101" s="23" t="s">
        <v>96</v>
      </c>
      <c r="T101" s="23" t="s">
        <v>21</v>
      </c>
    </row>
    <row r="102" spans="1:22" ht="15" x14ac:dyDescent="0.25">
      <c r="A102" s="6">
        <v>5</v>
      </c>
      <c r="B102" s="137"/>
      <c r="C102" s="124"/>
      <c r="D102" s="125"/>
      <c r="E102" s="160"/>
    </row>
    <row r="103" spans="1:22" ht="15" x14ac:dyDescent="0.25">
      <c r="A103" s="6">
        <v>6</v>
      </c>
      <c r="B103" s="137"/>
      <c r="C103" s="124"/>
      <c r="D103" s="125"/>
      <c r="E103" s="160"/>
      <c r="H103" s="241" t="s">
        <v>93</v>
      </c>
      <c r="I103" s="241"/>
      <c r="J103" s="241"/>
      <c r="K103" s="241"/>
      <c r="L103" s="241"/>
      <c r="M103" s="241"/>
      <c r="N103" s="241"/>
      <c r="O103" s="126"/>
      <c r="P103" s="24">
        <f>T98</f>
        <v>207642.96500000008</v>
      </c>
      <c r="R103" s="248" t="s">
        <v>97</v>
      </c>
      <c r="S103" s="249"/>
      <c r="T103" s="249"/>
      <c r="U103" s="249"/>
      <c r="V103" s="250"/>
    </row>
    <row r="104" spans="1:22" ht="15" x14ac:dyDescent="0.25">
      <c r="A104" s="6">
        <v>7</v>
      </c>
      <c r="B104" s="137"/>
      <c r="C104" s="124"/>
      <c r="D104" s="125"/>
      <c r="E104" s="160"/>
      <c r="H104" s="241" t="s">
        <v>137</v>
      </c>
      <c r="I104" s="241"/>
      <c r="J104" s="241"/>
      <c r="K104" s="241"/>
      <c r="L104" s="241"/>
      <c r="M104" s="241"/>
      <c r="N104" s="241"/>
      <c r="O104" s="126"/>
      <c r="P104" s="24">
        <f>T99</f>
        <v>4748.625</v>
      </c>
      <c r="R104" s="129" t="s">
        <v>140</v>
      </c>
      <c r="S104" s="130"/>
      <c r="T104" s="130"/>
      <c r="U104" s="130"/>
      <c r="V104" s="131"/>
    </row>
    <row r="105" spans="1:22" ht="15" x14ac:dyDescent="0.25">
      <c r="A105" s="6">
        <v>8</v>
      </c>
      <c r="B105" s="137"/>
      <c r="C105" s="124"/>
      <c r="D105" s="125"/>
      <c r="E105" s="160"/>
      <c r="H105" s="238" t="s">
        <v>138</v>
      </c>
      <c r="I105" s="238"/>
      <c r="J105" s="238"/>
      <c r="K105" s="238"/>
      <c r="L105" s="238"/>
      <c r="M105" s="238"/>
      <c r="N105" s="238"/>
      <c r="O105" s="123"/>
      <c r="P105" s="24">
        <f>SUM(E98:E107)</f>
        <v>0</v>
      </c>
      <c r="R105" s="132"/>
      <c r="S105" s="133"/>
      <c r="T105" s="133"/>
      <c r="U105" s="133"/>
      <c r="V105" s="134"/>
    </row>
    <row r="106" spans="1:22" ht="15" x14ac:dyDescent="0.25">
      <c r="A106" s="6">
        <v>9</v>
      </c>
      <c r="B106" s="137"/>
      <c r="C106" s="124"/>
      <c r="D106" s="125"/>
      <c r="E106" s="160"/>
      <c r="H106" s="242"/>
      <c r="I106" s="238"/>
      <c r="J106" s="238"/>
      <c r="K106" s="238"/>
      <c r="L106" s="238"/>
      <c r="M106" s="238"/>
      <c r="N106" s="238"/>
      <c r="O106" s="123"/>
      <c r="P106" s="24"/>
      <c r="R106" s="245"/>
      <c r="S106" s="246"/>
      <c r="T106" s="246"/>
      <c r="U106" s="246"/>
      <c r="V106" s="247"/>
    </row>
    <row r="107" spans="1:22" ht="15" x14ac:dyDescent="0.25">
      <c r="A107" s="6">
        <v>10</v>
      </c>
      <c r="B107" s="6"/>
      <c r="C107" s="8"/>
      <c r="D107" s="8"/>
      <c r="E107" s="160"/>
      <c r="H107" s="238"/>
      <c r="I107" s="238"/>
      <c r="J107" s="238"/>
      <c r="K107" s="238"/>
      <c r="L107" s="238"/>
      <c r="M107" s="238"/>
      <c r="N107" s="238"/>
      <c r="O107" s="123"/>
      <c r="P107" s="45"/>
      <c r="R107" s="245"/>
      <c r="S107" s="246"/>
      <c r="T107" s="246"/>
      <c r="U107" s="246"/>
      <c r="V107" s="247"/>
    </row>
    <row r="108" spans="1:22" ht="15" x14ac:dyDescent="0.25">
      <c r="A108" s="5"/>
      <c r="B108" s="5"/>
      <c r="C108" s="37"/>
      <c r="D108" s="37"/>
      <c r="E108" s="58"/>
      <c r="H108" s="237" t="s">
        <v>98</v>
      </c>
      <c r="I108" s="237"/>
      <c r="J108" s="237"/>
      <c r="K108" s="237"/>
      <c r="L108" s="237"/>
      <c r="M108" s="237"/>
      <c r="N108" s="237"/>
      <c r="O108" s="122"/>
      <c r="P108" s="25">
        <f>SUM(P103:P107)</f>
        <v>212391.59000000008</v>
      </c>
      <c r="R108" s="245"/>
      <c r="S108" s="246"/>
      <c r="T108" s="246"/>
      <c r="U108" s="246"/>
      <c r="V108" s="247"/>
    </row>
  </sheetData>
  <mergeCells count="197">
    <mergeCell ref="AA6:AA8"/>
    <mergeCell ref="Z83:Z85"/>
    <mergeCell ref="AB83:AB85"/>
    <mergeCell ref="U68:U69"/>
    <mergeCell ref="V68:V69"/>
    <mergeCell ref="AB57:AB59"/>
    <mergeCell ref="S83:S85"/>
    <mergeCell ref="T83:T85"/>
    <mergeCell ref="X68:X69"/>
    <mergeCell ref="W68:W69"/>
    <mergeCell ref="V83:V85"/>
    <mergeCell ref="S57:S59"/>
    <mergeCell ref="T57:T59"/>
    <mergeCell ref="U57:U59"/>
    <mergeCell ref="AB68:AB69"/>
    <mergeCell ref="A69:S69"/>
    <mergeCell ref="X57:X59"/>
    <mergeCell ref="P57:P59"/>
    <mergeCell ref="W83:W85"/>
    <mergeCell ref="X83:X85"/>
    <mergeCell ref="Y83:Y85"/>
    <mergeCell ref="L57:L59"/>
    <mergeCell ref="K57:K59"/>
    <mergeCell ref="J57:J59"/>
    <mergeCell ref="R108:V108"/>
    <mergeCell ref="R103:V103"/>
    <mergeCell ref="R106:V106"/>
    <mergeCell ref="AD21:AD22"/>
    <mergeCell ref="AC21:AC22"/>
    <mergeCell ref="X21:X22"/>
    <mergeCell ref="W21:W22"/>
    <mergeCell ref="V21:V22"/>
    <mergeCell ref="U21:U22"/>
    <mergeCell ref="A24:S24"/>
    <mergeCell ref="V23:V24"/>
    <mergeCell ref="U23:U24"/>
    <mergeCell ref="AC68:AC69"/>
    <mergeCell ref="Q83:Q85"/>
    <mergeCell ref="R83:R85"/>
    <mergeCell ref="P83:P85"/>
    <mergeCell ref="U83:U85"/>
    <mergeCell ref="D57:D59"/>
    <mergeCell ref="E57:E59"/>
    <mergeCell ref="F57:F59"/>
    <mergeCell ref="R57:R59"/>
    <mergeCell ref="R107:V107"/>
    <mergeCell ref="Y57:Y59"/>
    <mergeCell ref="Z57:Z59"/>
    <mergeCell ref="H108:N108"/>
    <mergeCell ref="H100:N100"/>
    <mergeCell ref="A96:A97"/>
    <mergeCell ref="E96:E97"/>
    <mergeCell ref="C97:D97"/>
    <mergeCell ref="H107:N107"/>
    <mergeCell ref="H104:N104"/>
    <mergeCell ref="H106:N106"/>
    <mergeCell ref="H105:N105"/>
    <mergeCell ref="H103:N103"/>
    <mergeCell ref="H98:N98"/>
    <mergeCell ref="H99:N99"/>
    <mergeCell ref="C96:D96"/>
    <mergeCell ref="T2:U5"/>
    <mergeCell ref="H6:H8"/>
    <mergeCell ref="N6:N8"/>
    <mergeCell ref="P6:P8"/>
    <mergeCell ref="T6:T8"/>
    <mergeCell ref="S6:S8"/>
    <mergeCell ref="Q6:Q8"/>
    <mergeCell ref="R6:R8"/>
    <mergeCell ref="A83:A85"/>
    <mergeCell ref="D83:D85"/>
    <mergeCell ref="H83:H85"/>
    <mergeCell ref="G83:G85"/>
    <mergeCell ref="M83:M85"/>
    <mergeCell ref="E83:E85"/>
    <mergeCell ref="F83:F85"/>
    <mergeCell ref="I83:I85"/>
    <mergeCell ref="C83:C84"/>
    <mergeCell ref="L83:L85"/>
    <mergeCell ref="K83:K85"/>
    <mergeCell ref="J83:J85"/>
    <mergeCell ref="A57:A59"/>
    <mergeCell ref="Q57:Q59"/>
    <mergeCell ref="A52:S52"/>
    <mergeCell ref="S2:S5"/>
    <mergeCell ref="A2:E5"/>
    <mergeCell ref="G6:G8"/>
    <mergeCell ref="M6:M8"/>
    <mergeCell ref="A6:A8"/>
    <mergeCell ref="E6:E8"/>
    <mergeCell ref="F6:F8"/>
    <mergeCell ref="D6:D8"/>
    <mergeCell ref="I6:I8"/>
    <mergeCell ref="H2:Q5"/>
    <mergeCell ref="O6:O8"/>
    <mergeCell ref="Y6:Y8"/>
    <mergeCell ref="Z6:Z8"/>
    <mergeCell ref="AC51:AC52"/>
    <mergeCell ref="AB36:AB37"/>
    <mergeCell ref="Z51:Z52"/>
    <mergeCell ref="Y17:Y18"/>
    <mergeCell ref="V26:V27"/>
    <mergeCell ref="U26:U27"/>
    <mergeCell ref="A27:S27"/>
    <mergeCell ref="AB14:AB15"/>
    <mergeCell ref="AB17:AB18"/>
    <mergeCell ref="L6:L8"/>
    <mergeCell ref="J6:J8"/>
    <mergeCell ref="K6:K8"/>
    <mergeCell ref="X26:X27"/>
    <mergeCell ref="W26:W27"/>
    <mergeCell ref="AB26:AB27"/>
    <mergeCell ref="X36:X37"/>
    <mergeCell ref="W36:W37"/>
    <mergeCell ref="V36:V37"/>
    <mergeCell ref="U36:U37"/>
    <mergeCell ref="A15:S15"/>
    <mergeCell ref="V14:V15"/>
    <mergeCell ref="U14:U15"/>
    <mergeCell ref="A18:S18"/>
    <mergeCell ref="V17:V18"/>
    <mergeCell ref="U17:U18"/>
    <mergeCell ref="A22:S22"/>
    <mergeCell ref="X51:X52"/>
    <mergeCell ref="W51:W52"/>
    <mergeCell ref="V51:V52"/>
    <mergeCell ref="U51:U52"/>
    <mergeCell ref="A37:S37"/>
    <mergeCell ref="W23:W24"/>
    <mergeCell ref="W17:W18"/>
    <mergeCell ref="AD68:AD69"/>
    <mergeCell ref="AC57:AC59"/>
    <mergeCell ref="AD57:AD59"/>
    <mergeCell ref="AD36:AD37"/>
    <mergeCell ref="AC36:AC37"/>
    <mergeCell ref="AB51:AB52"/>
    <mergeCell ref="AD26:AD27"/>
    <mergeCell ref="AC26:AC27"/>
    <mergeCell ref="AD51:AD52"/>
    <mergeCell ref="Y51:Y52"/>
    <mergeCell ref="Y36:Y37"/>
    <mergeCell ref="Z36:Z37"/>
    <mergeCell ref="Z68:Z69"/>
    <mergeCell ref="Y68:Y69"/>
    <mergeCell ref="Y26:Y27"/>
    <mergeCell ref="Z26:Z27"/>
    <mergeCell ref="Y23:Y24"/>
    <mergeCell ref="Z23:Z24"/>
    <mergeCell ref="AD6:AD8"/>
    <mergeCell ref="W6:W8"/>
    <mergeCell ref="X6:X8"/>
    <mergeCell ref="AB6:AB8"/>
    <mergeCell ref="AC6:AC8"/>
    <mergeCell ref="V6:V8"/>
    <mergeCell ref="B6:B8"/>
    <mergeCell ref="B57:B59"/>
    <mergeCell ref="B83:B85"/>
    <mergeCell ref="G57:G59"/>
    <mergeCell ref="H57:H59"/>
    <mergeCell ref="I57:I59"/>
    <mergeCell ref="W14:W15"/>
    <mergeCell ref="N83:N85"/>
    <mergeCell ref="O83:O85"/>
    <mergeCell ref="U6:U8"/>
    <mergeCell ref="V57:V59"/>
    <mergeCell ref="W57:W59"/>
    <mergeCell ref="M57:M59"/>
    <mergeCell ref="N57:N59"/>
    <mergeCell ref="O57:O59"/>
    <mergeCell ref="AC83:AC85"/>
    <mergeCell ref="AD83:AD85"/>
    <mergeCell ref="Y14:Y15"/>
    <mergeCell ref="Y21:Y22"/>
    <mergeCell ref="Z21:Z22"/>
    <mergeCell ref="AD14:AD15"/>
    <mergeCell ref="AC14:AC15"/>
    <mergeCell ref="X14:X15"/>
    <mergeCell ref="Z17:Z18"/>
    <mergeCell ref="Z14:Z15"/>
    <mergeCell ref="AD23:AD24"/>
    <mergeCell ref="AC23:AC24"/>
    <mergeCell ref="X23:X24"/>
    <mergeCell ref="AD17:AD18"/>
    <mergeCell ref="AC17:AC18"/>
    <mergeCell ref="X17:X18"/>
    <mergeCell ref="AB21:AB22"/>
    <mergeCell ref="AB23:AB24"/>
    <mergeCell ref="AA83:AA85"/>
    <mergeCell ref="AA68:AA69"/>
    <mergeCell ref="AA57:AA59"/>
    <mergeCell ref="AA14:AA15"/>
    <mergeCell ref="AA17:AA18"/>
    <mergeCell ref="AA21:AA22"/>
    <mergeCell ref="AA23:AA24"/>
    <mergeCell ref="AA26:AA27"/>
    <mergeCell ref="AA36:AA37"/>
    <mergeCell ref="AA51:AA52"/>
  </mergeCells>
  <phoneticPr fontId="17" type="noConversion"/>
  <pageMargins left="0.7" right="0.7" top="0.75" bottom="0.75" header="0.3" footer="0.3"/>
  <pageSetup paperSize="9" scale="52" orientation="landscape" horizontalDpi="4294967293" r:id="rId1"/>
  <rowBreaks count="1" manualBreakCount="1">
    <brk id="55" max="17" man="1"/>
  </rowBreaks>
  <ignoredErrors>
    <ignoredError sqref="T5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5FD-BED7-4A1E-B585-783C5F0EA6EE}">
  <dimension ref="B1:X37"/>
  <sheetViews>
    <sheetView showGridLines="0" view="pageBreakPreview" zoomScale="85" zoomScaleNormal="85" zoomScaleSheetLayoutView="85" workbookViewId="0">
      <selection activeCell="P21" sqref="P21"/>
    </sheetView>
  </sheetViews>
  <sheetFormatPr defaultColWidth="8.85546875" defaultRowHeight="14.25" x14ac:dyDescent="0.2"/>
  <cols>
    <col min="1" max="1" width="1" style="5" customWidth="1"/>
    <col min="2" max="2" width="6.42578125" style="10" bestFit="1" customWidth="1"/>
    <col min="3" max="3" width="27" style="3" customWidth="1"/>
    <col min="4" max="4" width="1.85546875" style="3" hidden="1" customWidth="1"/>
    <col min="5" max="5" width="12.5703125" style="2" customWidth="1"/>
    <col min="6" max="6" width="7.5703125" style="3" bestFit="1" customWidth="1"/>
    <col min="7" max="7" width="8.85546875" style="3" customWidth="1"/>
    <col min="8" max="8" width="9.42578125" style="4" customWidth="1"/>
    <col min="9" max="9" width="10" style="4" customWidth="1"/>
    <col min="10" max="10" width="7.5703125" style="67" customWidth="1"/>
    <col min="11" max="11" width="7" style="3" customWidth="1"/>
    <col min="12" max="12" width="10" style="3" customWidth="1"/>
    <col min="13" max="13" width="14" style="4" customWidth="1"/>
    <col min="14" max="15" width="11" style="4" bestFit="1" customWidth="1"/>
    <col min="16" max="16" width="12" style="4" customWidth="1"/>
    <col min="17" max="17" width="14.85546875" style="4" customWidth="1"/>
    <col min="18" max="18" width="12.85546875" style="3" customWidth="1"/>
    <col min="19" max="19" width="27.42578125" style="88" customWidth="1"/>
    <col min="20" max="20" width="13" style="89" customWidth="1"/>
    <col min="21" max="21" width="10.5703125" style="89" customWidth="1"/>
    <col min="22" max="22" width="12.5703125" style="90" customWidth="1"/>
    <col min="23" max="23" width="10.5703125" style="89" customWidth="1"/>
    <col min="24" max="24" width="31.85546875" style="89" bestFit="1" customWidth="1"/>
    <col min="25" max="25" width="17.5703125" style="5" bestFit="1" customWidth="1"/>
    <col min="26" max="16384" width="8.85546875" style="5"/>
  </cols>
  <sheetData>
    <row r="1" spans="2:24" ht="5.25" customHeight="1" thickBot="1" x14ac:dyDescent="0.25"/>
    <row r="2" spans="2:24" s="29" customFormat="1" ht="16.149999999999999" customHeight="1" thickBot="1" x14ac:dyDescent="0.3">
      <c r="B2" s="224" t="s">
        <v>0</v>
      </c>
      <c r="C2" s="224"/>
      <c r="D2" s="224"/>
      <c r="E2" s="224"/>
      <c r="H2" s="230" t="s">
        <v>1</v>
      </c>
      <c r="I2" s="230"/>
      <c r="J2" s="230"/>
      <c r="K2" s="230"/>
      <c r="L2" s="230"/>
      <c r="M2" s="230"/>
      <c r="N2" s="230"/>
      <c r="O2" s="30"/>
      <c r="P2" s="224" t="s">
        <v>2</v>
      </c>
      <c r="Q2" s="231">
        <v>46199</v>
      </c>
      <c r="R2" s="231"/>
      <c r="S2" s="231"/>
      <c r="T2" s="29" t="s">
        <v>3</v>
      </c>
      <c r="U2" s="92">
        <v>500</v>
      </c>
      <c r="V2" s="29" t="s">
        <v>99</v>
      </c>
      <c r="W2" s="93">
        <v>246.41</v>
      </c>
      <c r="X2" s="94"/>
    </row>
    <row r="3" spans="2:24" s="29" customFormat="1" ht="16.149999999999999" customHeight="1" thickBot="1" x14ac:dyDescent="0.3">
      <c r="B3" s="224"/>
      <c r="C3" s="224"/>
      <c r="D3" s="224"/>
      <c r="E3" s="224"/>
      <c r="H3" s="230"/>
      <c r="I3" s="230"/>
      <c r="J3" s="230"/>
      <c r="K3" s="230"/>
      <c r="L3" s="230"/>
      <c r="M3" s="230"/>
      <c r="N3" s="230"/>
      <c r="O3" s="30"/>
      <c r="P3" s="224"/>
      <c r="Q3" s="231"/>
      <c r="R3" s="231"/>
      <c r="S3" s="231"/>
      <c r="T3" s="29" t="s">
        <v>4</v>
      </c>
      <c r="U3" s="81">
        <f>W6/10/2</f>
        <v>12.320499999999999</v>
      </c>
      <c r="W3" s="95"/>
      <c r="X3" s="94"/>
    </row>
    <row r="4" spans="2:24" s="29" customFormat="1" ht="16.149999999999999" customHeight="1" thickBot="1" x14ac:dyDescent="0.3">
      <c r="B4" s="224"/>
      <c r="C4" s="224"/>
      <c r="D4" s="224"/>
      <c r="E4" s="224"/>
      <c r="H4" s="230"/>
      <c r="I4" s="230"/>
      <c r="J4" s="230"/>
      <c r="K4" s="230"/>
      <c r="L4" s="230"/>
      <c r="M4" s="230"/>
      <c r="N4" s="230"/>
      <c r="O4" s="30"/>
      <c r="P4" s="224"/>
      <c r="Q4" s="231"/>
      <c r="R4" s="231"/>
      <c r="S4" s="231"/>
      <c r="T4" s="29" t="s">
        <v>5</v>
      </c>
      <c r="U4" s="79">
        <v>20</v>
      </c>
      <c r="W4" s="95"/>
      <c r="X4" s="94"/>
    </row>
    <row r="5" spans="2:24" s="29" customFormat="1" ht="16.149999999999999" customHeight="1" thickBot="1" x14ac:dyDescent="0.3">
      <c r="B5" s="224"/>
      <c r="C5" s="224"/>
      <c r="D5" s="224"/>
      <c r="E5" s="224"/>
      <c r="H5" s="230"/>
      <c r="I5" s="230"/>
      <c r="J5" s="230"/>
      <c r="K5" s="230"/>
      <c r="L5" s="230"/>
      <c r="M5" s="230"/>
      <c r="N5" s="230"/>
      <c r="O5" s="30"/>
      <c r="P5" s="224"/>
      <c r="Q5" s="231"/>
      <c r="R5" s="231"/>
      <c r="S5" s="231"/>
      <c r="U5" s="79"/>
      <c r="W5" s="95"/>
      <c r="X5" s="94"/>
    </row>
    <row r="6" spans="2:24" s="29" customFormat="1" ht="16.5" thickBot="1" x14ac:dyDescent="0.3">
      <c r="B6" s="224"/>
      <c r="C6" s="224"/>
      <c r="D6" s="224"/>
      <c r="E6" s="224"/>
      <c r="H6" s="230"/>
      <c r="I6" s="230"/>
      <c r="J6" s="230"/>
      <c r="K6" s="230"/>
      <c r="L6" s="230"/>
      <c r="M6" s="230"/>
      <c r="N6" s="230"/>
      <c r="O6" s="30"/>
      <c r="P6" s="176"/>
      <c r="Q6" s="175"/>
      <c r="R6" s="175"/>
      <c r="S6" s="91"/>
      <c r="U6" s="82"/>
      <c r="V6" s="78" t="s">
        <v>4</v>
      </c>
      <c r="W6" s="96">
        <f>W2+W3+W4</f>
        <v>246.41</v>
      </c>
      <c r="X6" s="97"/>
    </row>
    <row r="7" spans="2:24" ht="22.5" customHeight="1" x14ac:dyDescent="0.25">
      <c r="B7" s="205" t="s">
        <v>6</v>
      </c>
      <c r="C7" s="48" t="s">
        <v>7</v>
      </c>
      <c r="D7" s="205" t="s">
        <v>8</v>
      </c>
      <c r="E7" s="227" t="s">
        <v>9</v>
      </c>
      <c r="F7" s="205" t="s">
        <v>10</v>
      </c>
      <c r="G7" s="221" t="s">
        <v>11</v>
      </c>
      <c r="H7" s="221" t="s">
        <v>12</v>
      </c>
      <c r="I7" s="218" t="s">
        <v>13</v>
      </c>
      <c r="J7" s="225" t="s">
        <v>14</v>
      </c>
      <c r="K7" s="218" t="s">
        <v>15</v>
      </c>
      <c r="L7" s="218" t="s">
        <v>16</v>
      </c>
      <c r="M7" s="233" t="s">
        <v>17</v>
      </c>
      <c r="N7" s="233" t="s">
        <v>18</v>
      </c>
      <c r="O7" s="233" t="s">
        <v>19</v>
      </c>
      <c r="P7" s="221" t="s">
        <v>100</v>
      </c>
      <c r="Q7" s="233" t="s">
        <v>20</v>
      </c>
      <c r="R7" s="205" t="s">
        <v>22</v>
      </c>
      <c r="S7" s="268" t="s">
        <v>23</v>
      </c>
      <c r="T7" s="267" t="s">
        <v>24</v>
      </c>
      <c r="U7" s="259" t="s">
        <v>25</v>
      </c>
      <c r="V7" s="264" t="s">
        <v>26</v>
      </c>
      <c r="W7" s="259" t="s">
        <v>27</v>
      </c>
      <c r="X7" s="267" t="s">
        <v>28</v>
      </c>
    </row>
    <row r="8" spans="2:24" ht="5.25" customHeight="1" x14ac:dyDescent="0.25">
      <c r="B8" s="228"/>
      <c r="C8" s="12"/>
      <c r="D8" s="228"/>
      <c r="E8" s="277"/>
      <c r="F8" s="228"/>
      <c r="G8" s="222"/>
      <c r="H8" s="222"/>
      <c r="I8" s="219"/>
      <c r="J8" s="279"/>
      <c r="K8" s="219"/>
      <c r="L8" s="219"/>
      <c r="M8" s="262"/>
      <c r="N8" s="262"/>
      <c r="O8" s="262"/>
      <c r="P8" s="222"/>
      <c r="Q8" s="262"/>
      <c r="R8" s="228"/>
      <c r="S8" s="269"/>
      <c r="T8" s="260"/>
      <c r="U8" s="260"/>
      <c r="V8" s="265"/>
      <c r="W8" s="260"/>
      <c r="X8" s="260"/>
    </row>
    <row r="9" spans="2:24" s="1" customFormat="1" ht="15" x14ac:dyDescent="0.25">
      <c r="B9" s="229"/>
      <c r="C9" s="71" t="s">
        <v>28</v>
      </c>
      <c r="D9" s="229"/>
      <c r="E9" s="278"/>
      <c r="F9" s="229"/>
      <c r="G9" s="223"/>
      <c r="H9" s="223"/>
      <c r="I9" s="220"/>
      <c r="J9" s="280"/>
      <c r="K9" s="220"/>
      <c r="L9" s="220"/>
      <c r="M9" s="263"/>
      <c r="N9" s="263"/>
      <c r="O9" s="263"/>
      <c r="P9" s="223"/>
      <c r="Q9" s="263"/>
      <c r="R9" s="229"/>
      <c r="S9" s="270"/>
      <c r="T9" s="261"/>
      <c r="U9" s="261"/>
      <c r="V9" s="266"/>
      <c r="W9" s="261"/>
      <c r="X9" s="261"/>
    </row>
    <row r="10" spans="2:24" ht="15" x14ac:dyDescent="0.2">
      <c r="B10" s="162">
        <v>5</v>
      </c>
      <c r="C10" s="164" t="s">
        <v>150</v>
      </c>
      <c r="D10" s="8"/>
      <c r="E10" s="163">
        <v>44.72</v>
      </c>
      <c r="F10" s="168">
        <v>87.5</v>
      </c>
      <c r="G10" s="168">
        <f t="shared" ref="G10" si="0">E10*1.5</f>
        <v>67.08</v>
      </c>
      <c r="H10" s="169">
        <f t="shared" ref="H10" si="1">E10*1.5</f>
        <v>67.08</v>
      </c>
      <c r="I10" s="169">
        <f t="shared" ref="I10" si="2">E10*2</f>
        <v>89.44</v>
      </c>
      <c r="J10" s="165"/>
      <c r="K10" s="165">
        <v>7</v>
      </c>
      <c r="L10" s="165"/>
      <c r="M10" s="166"/>
      <c r="N10" s="167"/>
      <c r="O10" s="167"/>
      <c r="P10" s="166"/>
      <c r="Q10" s="166">
        <v>4382.5600000000004</v>
      </c>
      <c r="R10" s="170"/>
      <c r="S10" s="170"/>
      <c r="T10" s="171">
        <f t="shared" ref="T10" si="3">Q10+O10+N10+M10</f>
        <v>4382.5600000000004</v>
      </c>
      <c r="U10" s="172">
        <f t="shared" ref="U10" si="4">E10*8.75</f>
        <v>391.3</v>
      </c>
      <c r="V10" s="174">
        <v>10</v>
      </c>
      <c r="W10" s="171">
        <v>8.75</v>
      </c>
      <c r="X10" s="173" t="str">
        <f t="shared" ref="X10" si="5">C10</f>
        <v>BENEDICTOR PHOSWA</v>
      </c>
    </row>
    <row r="11" spans="2:24" ht="15" x14ac:dyDescent="0.2">
      <c r="B11" s="271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3"/>
      <c r="T11" s="274"/>
      <c r="U11" s="275"/>
      <c r="V11" s="275"/>
      <c r="W11" s="275"/>
      <c r="X11" s="276"/>
    </row>
    <row r="12" spans="2:24" ht="15" x14ac:dyDescent="0.2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R12" s="98"/>
      <c r="S12" s="99"/>
      <c r="T12" s="100"/>
      <c r="U12" s="101"/>
      <c r="V12" s="102"/>
      <c r="W12" s="100"/>
      <c r="X12" s="87"/>
    </row>
    <row r="13" spans="2:24" ht="15" x14ac:dyDescent="0.2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R13" s="98"/>
      <c r="S13" s="99"/>
      <c r="T13" s="100"/>
      <c r="U13" s="101"/>
      <c r="V13" s="102"/>
      <c r="W13" s="100"/>
      <c r="X13" s="87"/>
    </row>
    <row r="14" spans="2:24" ht="15" x14ac:dyDescent="0.2">
      <c r="B14" s="257" t="s">
        <v>101</v>
      </c>
      <c r="C14" s="257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R14" s="98"/>
      <c r="S14" s="99"/>
      <c r="T14" s="100"/>
      <c r="U14" s="101"/>
      <c r="V14" s="102"/>
      <c r="W14" s="100"/>
      <c r="X14" s="87"/>
    </row>
    <row r="15" spans="2:24" ht="15" x14ac:dyDescent="0.2">
      <c r="B15" s="50" t="s">
        <v>102</v>
      </c>
      <c r="C15" s="103"/>
      <c r="D15" s="177"/>
      <c r="E15" s="103">
        <v>46186</v>
      </c>
      <c r="F15" s="8"/>
      <c r="G15" s="10"/>
      <c r="H15" s="127"/>
      <c r="I15" s="127"/>
      <c r="J15" s="127"/>
      <c r="K15" s="127"/>
      <c r="L15" s="127"/>
      <c r="M15" s="83"/>
      <c r="N15" s="83"/>
      <c r="O15" s="83"/>
      <c r="P15" s="83"/>
      <c r="R15" s="98"/>
      <c r="S15" s="99"/>
      <c r="T15" s="100"/>
      <c r="U15" s="101"/>
      <c r="V15" s="102"/>
      <c r="W15" s="100"/>
      <c r="X15" s="87"/>
    </row>
    <row r="16" spans="2:24" ht="15" x14ac:dyDescent="0.2">
      <c r="B16" s="8" t="s">
        <v>103</v>
      </c>
      <c r="C16" s="103"/>
      <c r="D16" s="177"/>
      <c r="E16" s="103">
        <v>46187</v>
      </c>
      <c r="F16" s="104"/>
      <c r="G16" s="178"/>
      <c r="H16" s="127"/>
      <c r="I16" s="127"/>
      <c r="J16" s="127"/>
      <c r="K16" s="127"/>
      <c r="L16" s="127"/>
      <c r="M16" s="83"/>
      <c r="N16" s="83"/>
      <c r="O16" s="83"/>
      <c r="P16" s="83"/>
      <c r="R16" s="98"/>
      <c r="S16" s="99"/>
      <c r="T16" s="100"/>
      <c r="U16" s="101"/>
      <c r="V16" s="102"/>
      <c r="W16" s="100"/>
      <c r="X16" s="87"/>
    </row>
    <row r="17" spans="2:24" ht="15" x14ac:dyDescent="0.2">
      <c r="B17" s="8" t="s">
        <v>104</v>
      </c>
      <c r="C17" s="103" t="s">
        <v>164</v>
      </c>
      <c r="D17" s="177"/>
      <c r="E17" s="103">
        <v>46188</v>
      </c>
      <c r="F17" s="8"/>
      <c r="G17" s="10"/>
      <c r="H17" s="127"/>
      <c r="I17" s="127"/>
      <c r="J17" s="127"/>
      <c r="K17" s="127"/>
      <c r="L17" s="127"/>
      <c r="M17" s="83"/>
      <c r="N17" s="83"/>
      <c r="O17" s="83"/>
      <c r="P17" s="83"/>
      <c r="R17" s="98"/>
      <c r="S17" s="99"/>
      <c r="T17" s="100"/>
      <c r="U17" s="101"/>
      <c r="V17" s="102"/>
      <c r="W17" s="100"/>
      <c r="X17" s="87"/>
    </row>
    <row r="18" spans="2:24" ht="15" x14ac:dyDescent="0.2">
      <c r="B18" s="8" t="s">
        <v>105</v>
      </c>
      <c r="C18" s="103" t="s">
        <v>164</v>
      </c>
      <c r="D18" s="177"/>
      <c r="E18" s="103">
        <v>46189</v>
      </c>
      <c r="F18" s="104"/>
      <c r="G18" s="178"/>
      <c r="H18" s="127"/>
      <c r="I18" s="127"/>
      <c r="J18" s="127"/>
      <c r="K18" s="127"/>
      <c r="L18" s="127"/>
      <c r="M18" s="83"/>
      <c r="N18" s="83"/>
      <c r="O18" s="83"/>
      <c r="P18" s="83"/>
      <c r="R18" s="98"/>
      <c r="S18" s="99"/>
      <c r="T18" s="100"/>
      <c r="U18" s="101"/>
      <c r="V18" s="102"/>
      <c r="W18" s="100"/>
      <c r="X18" s="87"/>
    </row>
    <row r="19" spans="2:24" ht="15" x14ac:dyDescent="0.2">
      <c r="B19" s="8" t="s">
        <v>106</v>
      </c>
      <c r="C19" s="103" t="s">
        <v>164</v>
      </c>
      <c r="D19" s="177"/>
      <c r="E19" s="103">
        <v>46190</v>
      </c>
      <c r="F19" s="104"/>
      <c r="G19" s="178"/>
      <c r="H19" s="127"/>
      <c r="I19" s="127"/>
      <c r="J19" s="127"/>
      <c r="K19" s="127"/>
      <c r="L19" s="127"/>
      <c r="M19" s="83"/>
      <c r="N19" s="83"/>
      <c r="O19" s="83"/>
      <c r="P19" s="83"/>
      <c r="R19" s="98"/>
      <c r="S19" s="99"/>
      <c r="T19" s="100"/>
      <c r="U19" s="101"/>
      <c r="V19" s="102"/>
      <c r="W19" s="100"/>
      <c r="X19" s="87"/>
    </row>
    <row r="20" spans="2:24" ht="15" x14ac:dyDescent="0.2">
      <c r="B20" s="8" t="s">
        <v>107</v>
      </c>
      <c r="C20" s="103" t="s">
        <v>164</v>
      </c>
      <c r="D20" s="177"/>
      <c r="E20" s="103">
        <v>46191</v>
      </c>
      <c r="F20" s="104"/>
      <c r="G20" s="178"/>
      <c r="H20" s="127"/>
      <c r="I20" s="127"/>
      <c r="J20" s="127"/>
      <c r="K20" s="127"/>
      <c r="L20" s="127"/>
      <c r="M20" s="83"/>
      <c r="N20" s="83"/>
      <c r="O20" s="83"/>
      <c r="P20" s="83"/>
      <c r="R20" s="98"/>
      <c r="S20" s="99"/>
      <c r="T20" s="100"/>
      <c r="U20" s="101"/>
      <c r="V20" s="102"/>
      <c r="W20" s="100"/>
      <c r="X20" s="87"/>
    </row>
    <row r="21" spans="2:24" ht="15" x14ac:dyDescent="0.2">
      <c r="B21" s="8" t="s">
        <v>108</v>
      </c>
      <c r="C21" s="103" t="s">
        <v>164</v>
      </c>
      <c r="D21" s="177"/>
      <c r="E21" s="103">
        <v>46192</v>
      </c>
      <c r="F21" s="9"/>
      <c r="H21" s="127"/>
      <c r="I21" s="127"/>
      <c r="J21" s="127"/>
      <c r="K21" s="127"/>
      <c r="L21" s="127"/>
      <c r="M21" s="83"/>
      <c r="N21" s="83"/>
      <c r="O21" s="83"/>
      <c r="P21" s="83"/>
      <c r="R21" s="98"/>
      <c r="S21" s="99"/>
      <c r="T21" s="100"/>
      <c r="U21" s="101"/>
      <c r="V21" s="102"/>
      <c r="W21" s="100"/>
      <c r="X21" s="87"/>
    </row>
    <row r="22" spans="2:24" ht="15" x14ac:dyDescent="0.2">
      <c r="B22" s="8"/>
      <c r="C22" s="9"/>
      <c r="D22" s="177"/>
      <c r="E22" s="9"/>
      <c r="F22" s="9"/>
      <c r="H22" s="127"/>
      <c r="I22" s="127"/>
      <c r="J22" s="127"/>
      <c r="K22" s="127"/>
      <c r="L22" s="127"/>
      <c r="M22" s="83"/>
      <c r="N22" s="83"/>
      <c r="O22" s="83"/>
      <c r="P22" s="83"/>
      <c r="R22" s="98"/>
      <c r="S22" s="99"/>
      <c r="T22" s="100"/>
      <c r="U22" s="101"/>
      <c r="V22" s="102"/>
      <c r="W22" s="100"/>
      <c r="X22" s="87"/>
    </row>
    <row r="23" spans="2:24" ht="15" x14ac:dyDescent="0.2">
      <c r="I23" s="83"/>
      <c r="J23" s="83"/>
      <c r="K23" s="83"/>
      <c r="L23" s="83"/>
      <c r="M23" s="83"/>
      <c r="N23" s="83"/>
      <c r="O23" s="83"/>
      <c r="P23" s="83"/>
      <c r="R23" s="98"/>
      <c r="S23" s="99"/>
      <c r="T23" s="100"/>
      <c r="U23" s="101"/>
      <c r="V23" s="102"/>
      <c r="W23" s="100"/>
      <c r="X23" s="87"/>
    </row>
    <row r="24" spans="2:24" ht="15" x14ac:dyDescent="0.2">
      <c r="I24" s="83"/>
      <c r="J24" s="83"/>
      <c r="K24" s="83"/>
      <c r="L24" s="83"/>
      <c r="M24" s="83"/>
      <c r="N24" s="83"/>
      <c r="O24" s="83"/>
      <c r="P24" s="83"/>
      <c r="R24" s="98"/>
      <c r="S24" s="99"/>
      <c r="T24" s="100"/>
      <c r="U24" s="101"/>
      <c r="V24" s="102"/>
      <c r="W24" s="100"/>
      <c r="X24" s="87"/>
    </row>
    <row r="25" spans="2:24" ht="15" x14ac:dyDescent="0.2">
      <c r="B25" s="257" t="s">
        <v>109</v>
      </c>
      <c r="C25" s="257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R25" s="98"/>
      <c r="S25" s="99"/>
      <c r="T25" s="100"/>
      <c r="U25" s="101"/>
      <c r="V25" s="102"/>
      <c r="W25" s="100"/>
      <c r="X25" s="87"/>
    </row>
    <row r="26" spans="2:24" x14ac:dyDescent="0.2">
      <c r="B26" s="8" t="s">
        <v>102</v>
      </c>
      <c r="C26" s="103" t="s">
        <v>165</v>
      </c>
      <c r="D26" s="177"/>
      <c r="E26" s="103">
        <v>46193</v>
      </c>
      <c r="F26" s="104" t="s">
        <v>167</v>
      </c>
      <c r="G26" s="178"/>
      <c r="H26" s="179"/>
      <c r="L26" s="105"/>
    </row>
    <row r="27" spans="2:24" x14ac:dyDescent="0.2">
      <c r="B27" s="8" t="s">
        <v>103</v>
      </c>
      <c r="C27" s="103"/>
      <c r="D27" s="177"/>
      <c r="E27" s="103">
        <v>46194</v>
      </c>
      <c r="F27" s="104"/>
      <c r="G27" s="178"/>
      <c r="H27" s="180"/>
      <c r="L27" s="105"/>
    </row>
    <row r="28" spans="2:24" x14ac:dyDescent="0.2">
      <c r="B28" s="8" t="s">
        <v>104</v>
      </c>
      <c r="C28" s="103" t="s">
        <v>166</v>
      </c>
      <c r="D28" s="177"/>
      <c r="E28" s="103">
        <v>46195</v>
      </c>
      <c r="F28" s="104"/>
      <c r="G28" s="178"/>
      <c r="H28" s="180"/>
      <c r="L28" s="105"/>
    </row>
    <row r="29" spans="2:24" x14ac:dyDescent="0.2">
      <c r="B29" s="8" t="s">
        <v>105</v>
      </c>
      <c r="C29" s="103" t="s">
        <v>166</v>
      </c>
      <c r="D29" s="177"/>
      <c r="E29" s="103">
        <v>46196</v>
      </c>
      <c r="F29" s="104"/>
      <c r="G29" s="178"/>
      <c r="H29" s="180"/>
      <c r="L29" s="105"/>
    </row>
    <row r="30" spans="2:24" x14ac:dyDescent="0.2">
      <c r="B30" s="8" t="s">
        <v>106</v>
      </c>
      <c r="C30" s="103" t="s">
        <v>166</v>
      </c>
      <c r="D30" s="177"/>
      <c r="E30" s="103">
        <v>46197</v>
      </c>
      <c r="F30" s="104"/>
      <c r="G30" s="178"/>
      <c r="H30" s="180"/>
      <c r="L30" s="105"/>
    </row>
    <row r="31" spans="2:24" x14ac:dyDescent="0.2">
      <c r="B31" s="8" t="s">
        <v>107</v>
      </c>
      <c r="C31" s="103"/>
      <c r="D31" s="177"/>
      <c r="E31" s="103">
        <v>46198</v>
      </c>
      <c r="F31" s="9"/>
    </row>
    <row r="32" spans="2:24" x14ac:dyDescent="0.2">
      <c r="B32" s="8" t="s">
        <v>108</v>
      </c>
      <c r="C32" s="103"/>
      <c r="D32" s="177"/>
      <c r="E32" s="103">
        <v>46199</v>
      </c>
      <c r="F32" s="9"/>
    </row>
    <row r="33" spans="2:12" x14ac:dyDescent="0.2">
      <c r="B33" s="8"/>
      <c r="C33" s="9"/>
      <c r="D33" s="177"/>
      <c r="E33" s="17"/>
      <c r="F33" s="9"/>
      <c r="I33" s="258"/>
      <c r="J33" s="258"/>
      <c r="K33" s="258"/>
      <c r="L33" s="106"/>
    </row>
    <row r="35" spans="2:12" x14ac:dyDescent="0.2">
      <c r="B35" s="5"/>
    </row>
    <row r="37" spans="2:12" x14ac:dyDescent="0.2">
      <c r="B37" s="10" t="s">
        <v>110</v>
      </c>
    </row>
  </sheetData>
  <mergeCells count="31">
    <mergeCell ref="Q2:S5"/>
    <mergeCell ref="P2:P5"/>
    <mergeCell ref="B2:E6"/>
    <mergeCell ref="H2:N6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V7:V9"/>
    <mergeCell ref="W7:W9"/>
    <mergeCell ref="X7:X9"/>
    <mergeCell ref="T7:T9"/>
    <mergeCell ref="R7:R9"/>
    <mergeCell ref="S7:S9"/>
    <mergeCell ref="B14:C14"/>
    <mergeCell ref="B25:C25"/>
    <mergeCell ref="I33:K33"/>
    <mergeCell ref="U7:U9"/>
    <mergeCell ref="O7:O9"/>
    <mergeCell ref="P7:P9"/>
    <mergeCell ref="Q7:Q9"/>
    <mergeCell ref="N7:N9"/>
    <mergeCell ref="M7:M9"/>
    <mergeCell ref="B11:S11"/>
    <mergeCell ref="T11:X11"/>
  </mergeCells>
  <pageMargins left="0.25" right="0.25" top="0.75" bottom="0.75" header="0.3" footer="0.3"/>
  <pageSetup paperSize="9" scale="6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466B-3330-48B5-A78D-7BDE899C0C89}">
  <dimension ref="A2:G42"/>
  <sheetViews>
    <sheetView view="pageLayout" zoomScaleNormal="100" workbookViewId="0">
      <selection activeCell="I7" sqref="I7"/>
    </sheetView>
  </sheetViews>
  <sheetFormatPr defaultRowHeight="15" x14ac:dyDescent="0.25"/>
  <cols>
    <col min="1" max="1" width="3.28515625" bestFit="1" customWidth="1"/>
    <col min="2" max="2" width="4.42578125" bestFit="1" customWidth="1"/>
    <col min="3" max="3" width="34.5703125" customWidth="1"/>
    <col min="4" max="4" width="2.140625" customWidth="1"/>
    <col min="5" max="5" width="3.28515625" bestFit="1" customWidth="1"/>
    <col min="6" max="6" width="4.42578125" bestFit="1" customWidth="1"/>
    <col min="7" max="7" width="33.5703125" customWidth="1"/>
  </cols>
  <sheetData>
    <row r="2" spans="1:7" x14ac:dyDescent="0.25">
      <c r="A2" s="6">
        <v>1</v>
      </c>
      <c r="B2" s="6">
        <v>444</v>
      </c>
      <c r="C2" s="8" t="s">
        <v>86</v>
      </c>
      <c r="D2" s="10"/>
      <c r="E2" s="156">
        <v>42</v>
      </c>
      <c r="F2" s="49">
        <v>341</v>
      </c>
      <c r="G2" s="8" t="s">
        <v>67</v>
      </c>
    </row>
    <row r="3" spans="1:7" x14ac:dyDescent="0.25">
      <c r="A3" s="6">
        <v>2</v>
      </c>
      <c r="B3" s="6">
        <v>458</v>
      </c>
      <c r="C3" s="118" t="s">
        <v>141</v>
      </c>
      <c r="D3" s="87"/>
      <c r="E3" s="156">
        <v>43</v>
      </c>
      <c r="F3" s="49">
        <v>218</v>
      </c>
      <c r="G3" s="8" t="s">
        <v>69</v>
      </c>
    </row>
    <row r="4" spans="1:7" x14ac:dyDescent="0.25">
      <c r="A4" s="6">
        <v>3</v>
      </c>
      <c r="B4" s="6">
        <v>459</v>
      </c>
      <c r="C4" s="8" t="s">
        <v>135</v>
      </c>
      <c r="D4" s="10"/>
      <c r="E4" s="156">
        <v>44</v>
      </c>
      <c r="F4" s="49">
        <v>464</v>
      </c>
      <c r="G4" s="8" t="s">
        <v>132</v>
      </c>
    </row>
    <row r="5" spans="1:7" x14ac:dyDescent="0.25">
      <c r="A5" s="6">
        <v>4</v>
      </c>
      <c r="B5" s="137">
        <v>483</v>
      </c>
      <c r="C5" s="8" t="s">
        <v>155</v>
      </c>
      <c r="D5" s="10"/>
      <c r="E5" s="156">
        <v>45</v>
      </c>
      <c r="F5" s="49">
        <v>434</v>
      </c>
      <c r="G5" s="8" t="s">
        <v>71</v>
      </c>
    </row>
    <row r="6" spans="1:7" x14ac:dyDescent="0.25">
      <c r="A6" s="6">
        <v>5</v>
      </c>
      <c r="B6" s="49">
        <v>398</v>
      </c>
      <c r="C6" s="140" t="s">
        <v>150</v>
      </c>
      <c r="D6" s="158"/>
      <c r="E6" s="156">
        <v>46</v>
      </c>
      <c r="F6" s="49">
        <v>435</v>
      </c>
      <c r="G6" s="8" t="s">
        <v>70</v>
      </c>
    </row>
    <row r="7" spans="1:7" x14ac:dyDescent="0.25">
      <c r="A7" s="6">
        <v>6</v>
      </c>
      <c r="B7" s="6">
        <v>331</v>
      </c>
      <c r="C7" s="8" t="s">
        <v>31</v>
      </c>
      <c r="D7" s="10"/>
      <c r="E7" s="156">
        <v>47</v>
      </c>
      <c r="F7" s="49">
        <v>492</v>
      </c>
      <c r="G7" s="8" t="s">
        <v>72</v>
      </c>
    </row>
    <row r="8" spans="1:7" x14ac:dyDescent="0.25">
      <c r="A8" s="6">
        <v>7</v>
      </c>
      <c r="B8" s="6">
        <v>452</v>
      </c>
      <c r="C8" s="8" t="s">
        <v>87</v>
      </c>
      <c r="D8" s="10"/>
      <c r="E8" s="156">
        <v>48</v>
      </c>
      <c r="F8" s="49">
        <v>449</v>
      </c>
      <c r="G8" s="8" t="s">
        <v>146</v>
      </c>
    </row>
    <row r="9" spans="1:7" x14ac:dyDescent="0.25">
      <c r="A9" s="49">
        <v>8</v>
      </c>
      <c r="B9" s="49">
        <v>122</v>
      </c>
      <c r="C9" s="118" t="s">
        <v>35</v>
      </c>
      <c r="D9" s="87"/>
      <c r="E9" s="156">
        <v>49</v>
      </c>
      <c r="F9" s="49">
        <v>405</v>
      </c>
      <c r="G9" s="8" t="s">
        <v>73</v>
      </c>
    </row>
    <row r="10" spans="1:7" x14ac:dyDescent="0.25">
      <c r="A10" s="49">
        <v>9</v>
      </c>
      <c r="B10" s="49">
        <v>332</v>
      </c>
      <c r="C10" s="8" t="s">
        <v>37</v>
      </c>
      <c r="D10" s="10"/>
      <c r="E10" s="156">
        <v>50</v>
      </c>
      <c r="F10" s="49">
        <v>126</v>
      </c>
      <c r="G10" s="19" t="s">
        <v>74</v>
      </c>
    </row>
    <row r="11" spans="1:7" x14ac:dyDescent="0.25">
      <c r="A11" s="49">
        <v>10</v>
      </c>
      <c r="B11" s="49">
        <v>421</v>
      </c>
      <c r="C11" s="8" t="s">
        <v>38</v>
      </c>
      <c r="D11" s="10"/>
      <c r="E11" s="156">
        <v>51</v>
      </c>
      <c r="F11" s="6">
        <v>489</v>
      </c>
      <c r="G11" s="118" t="s">
        <v>145</v>
      </c>
    </row>
    <row r="12" spans="1:7" x14ac:dyDescent="0.25">
      <c r="A12" s="6">
        <v>11</v>
      </c>
      <c r="B12" s="6">
        <v>445</v>
      </c>
      <c r="C12" s="8" t="s">
        <v>88</v>
      </c>
      <c r="D12" s="10"/>
      <c r="E12" s="156">
        <v>52</v>
      </c>
      <c r="F12" s="6">
        <v>450</v>
      </c>
      <c r="G12" s="8" t="s">
        <v>144</v>
      </c>
    </row>
    <row r="13" spans="1:7" x14ac:dyDescent="0.25">
      <c r="A13" s="49">
        <v>12</v>
      </c>
      <c r="B13" s="49">
        <v>119</v>
      </c>
      <c r="C13" s="8" t="s">
        <v>41</v>
      </c>
      <c r="D13" s="10"/>
      <c r="E13" s="156">
        <v>53</v>
      </c>
      <c r="F13" s="137">
        <v>476</v>
      </c>
      <c r="G13" s="8" t="s">
        <v>157</v>
      </c>
    </row>
    <row r="14" spans="1:7" x14ac:dyDescent="0.25">
      <c r="A14" s="49">
        <v>13</v>
      </c>
      <c r="B14" s="49">
        <v>383</v>
      </c>
      <c r="C14" s="119" t="s">
        <v>42</v>
      </c>
      <c r="D14" s="159"/>
      <c r="E14" s="156">
        <v>54</v>
      </c>
      <c r="F14" s="6">
        <v>207</v>
      </c>
      <c r="G14" s="8" t="s">
        <v>76</v>
      </c>
    </row>
    <row r="15" spans="1:7" x14ac:dyDescent="0.25">
      <c r="A15" s="49">
        <v>14</v>
      </c>
      <c r="B15" s="49">
        <v>354</v>
      </c>
      <c r="C15" s="8" t="s">
        <v>43</v>
      </c>
      <c r="D15" s="10"/>
      <c r="E15" s="156">
        <v>55</v>
      </c>
      <c r="F15" s="6">
        <v>430</v>
      </c>
      <c r="G15" s="8" t="s">
        <v>77</v>
      </c>
    </row>
    <row r="16" spans="1:7" x14ac:dyDescent="0.25">
      <c r="A16" s="49">
        <v>15</v>
      </c>
      <c r="B16" s="49">
        <v>109</v>
      </c>
      <c r="C16" s="8" t="s">
        <v>46</v>
      </c>
      <c r="D16" s="10"/>
      <c r="E16" s="156">
        <v>56</v>
      </c>
      <c r="F16" s="6">
        <v>431</v>
      </c>
      <c r="G16" s="8" t="s">
        <v>78</v>
      </c>
    </row>
    <row r="17" spans="1:7" x14ac:dyDescent="0.25">
      <c r="A17" s="6">
        <v>16</v>
      </c>
      <c r="B17" s="6">
        <v>399</v>
      </c>
      <c r="C17" s="8" t="s">
        <v>47</v>
      </c>
      <c r="D17" s="10"/>
      <c r="E17" s="156">
        <v>57</v>
      </c>
      <c r="F17" s="6">
        <v>428</v>
      </c>
      <c r="G17" s="8" t="s">
        <v>79</v>
      </c>
    </row>
    <row r="18" spans="1:7" x14ac:dyDescent="0.25">
      <c r="A18" s="6">
        <v>17</v>
      </c>
      <c r="B18" s="6">
        <v>460</v>
      </c>
      <c r="C18" s="118" t="s">
        <v>133</v>
      </c>
      <c r="D18" s="87"/>
      <c r="E18" s="156">
        <v>58</v>
      </c>
      <c r="F18" s="6">
        <v>339</v>
      </c>
      <c r="G18" s="8" t="s">
        <v>80</v>
      </c>
    </row>
    <row r="19" spans="1:7" x14ac:dyDescent="0.25">
      <c r="A19" s="6">
        <v>18</v>
      </c>
      <c r="B19" s="6">
        <v>389</v>
      </c>
      <c r="C19" s="8" t="s">
        <v>48</v>
      </c>
      <c r="D19" s="10"/>
      <c r="E19" s="156">
        <v>59</v>
      </c>
      <c r="F19" s="6"/>
      <c r="G19" s="8" t="s">
        <v>81</v>
      </c>
    </row>
    <row r="20" spans="1:7" x14ac:dyDescent="0.25">
      <c r="A20" s="6">
        <v>19</v>
      </c>
      <c r="B20" s="6">
        <v>439</v>
      </c>
      <c r="C20" s="8" t="s">
        <v>49</v>
      </c>
      <c r="D20" s="10"/>
      <c r="E20" s="6"/>
      <c r="F20" s="6"/>
      <c r="G20" s="8"/>
    </row>
    <row r="21" spans="1:7" x14ac:dyDescent="0.25">
      <c r="A21" s="6">
        <v>20</v>
      </c>
      <c r="B21" s="6">
        <v>461</v>
      </c>
      <c r="C21" s="8" t="s">
        <v>134</v>
      </c>
      <c r="D21" s="10"/>
    </row>
    <row r="22" spans="1:7" x14ac:dyDescent="0.25">
      <c r="A22" s="6">
        <v>21</v>
      </c>
      <c r="B22" s="6">
        <v>443</v>
      </c>
      <c r="C22" s="8" t="s">
        <v>51</v>
      </c>
      <c r="D22" s="10"/>
    </row>
    <row r="23" spans="1:7" x14ac:dyDescent="0.25">
      <c r="A23" s="6">
        <v>22</v>
      </c>
      <c r="B23" s="6">
        <v>442</v>
      </c>
      <c r="C23" s="8" t="s">
        <v>52</v>
      </c>
      <c r="D23" s="10"/>
    </row>
    <row r="24" spans="1:7" x14ac:dyDescent="0.25">
      <c r="A24" s="6">
        <v>23</v>
      </c>
      <c r="B24" s="137">
        <v>471</v>
      </c>
      <c r="C24" s="139" t="s">
        <v>156</v>
      </c>
      <c r="D24" s="157"/>
    </row>
    <row r="25" spans="1:7" x14ac:dyDescent="0.25">
      <c r="A25" s="6">
        <v>24</v>
      </c>
      <c r="B25" s="6">
        <v>447</v>
      </c>
      <c r="C25" s="8" t="s">
        <v>89</v>
      </c>
      <c r="D25" s="10"/>
    </row>
    <row r="26" spans="1:7" x14ac:dyDescent="0.25">
      <c r="A26" s="6">
        <v>25</v>
      </c>
      <c r="B26" s="6">
        <v>334</v>
      </c>
      <c r="C26" s="8" t="s">
        <v>53</v>
      </c>
      <c r="D26" s="10"/>
    </row>
    <row r="27" spans="1:7" x14ac:dyDescent="0.25">
      <c r="A27" s="6">
        <v>26</v>
      </c>
      <c r="B27" s="6">
        <v>462</v>
      </c>
      <c r="C27" s="8" t="s">
        <v>131</v>
      </c>
      <c r="D27" s="10"/>
    </row>
    <row r="28" spans="1:7" x14ac:dyDescent="0.25">
      <c r="A28" s="6">
        <v>27</v>
      </c>
      <c r="B28" s="6">
        <v>108</v>
      </c>
      <c r="C28" s="8" t="s">
        <v>54</v>
      </c>
      <c r="D28" s="10"/>
    </row>
    <row r="29" spans="1:7" x14ac:dyDescent="0.25">
      <c r="A29" s="6">
        <v>28</v>
      </c>
      <c r="B29" s="6">
        <v>125</v>
      </c>
      <c r="C29" s="8" t="s">
        <v>56</v>
      </c>
      <c r="D29" s="10"/>
    </row>
    <row r="30" spans="1:7" x14ac:dyDescent="0.25">
      <c r="A30" s="6">
        <v>29</v>
      </c>
      <c r="B30" s="48">
        <v>335</v>
      </c>
      <c r="C30" s="13" t="s">
        <v>57</v>
      </c>
      <c r="D30" s="10"/>
    </row>
    <row r="31" spans="1:7" x14ac:dyDescent="0.25">
      <c r="A31" s="6">
        <v>30</v>
      </c>
      <c r="B31" s="6">
        <v>463</v>
      </c>
      <c r="C31" s="8" t="s">
        <v>136</v>
      </c>
      <c r="D31" s="10"/>
    </row>
    <row r="32" spans="1:7" x14ac:dyDescent="0.25">
      <c r="A32" s="6">
        <v>31</v>
      </c>
      <c r="B32" s="6">
        <v>451</v>
      </c>
      <c r="C32" s="8" t="s">
        <v>90</v>
      </c>
      <c r="D32" s="10"/>
    </row>
    <row r="33" spans="1:4" x14ac:dyDescent="0.25">
      <c r="A33" s="6">
        <v>32</v>
      </c>
      <c r="B33" s="6">
        <v>385</v>
      </c>
      <c r="C33" s="8" t="s">
        <v>59</v>
      </c>
      <c r="D33" s="10"/>
    </row>
    <row r="34" spans="1:4" x14ac:dyDescent="0.25">
      <c r="A34" s="6">
        <v>33</v>
      </c>
      <c r="B34" s="6">
        <v>453</v>
      </c>
      <c r="C34" s="8" t="s">
        <v>91</v>
      </c>
      <c r="D34" s="10"/>
    </row>
    <row r="35" spans="1:4" x14ac:dyDescent="0.25">
      <c r="A35" s="6">
        <v>34</v>
      </c>
      <c r="B35" s="6">
        <v>433</v>
      </c>
      <c r="C35" s="8" t="s">
        <v>60</v>
      </c>
      <c r="D35" s="10"/>
    </row>
    <row r="36" spans="1:4" x14ac:dyDescent="0.25">
      <c r="A36" s="6">
        <v>35</v>
      </c>
      <c r="B36" s="6">
        <v>448</v>
      </c>
      <c r="C36" s="8" t="s">
        <v>143</v>
      </c>
      <c r="D36" s="10"/>
    </row>
    <row r="37" spans="1:4" x14ac:dyDescent="0.25">
      <c r="A37" s="6">
        <v>36</v>
      </c>
      <c r="B37" s="6">
        <v>116</v>
      </c>
      <c r="C37" s="19" t="s">
        <v>61</v>
      </c>
      <c r="D37" s="56"/>
    </row>
    <row r="38" spans="1:4" x14ac:dyDescent="0.25">
      <c r="A38" s="6">
        <v>37</v>
      </c>
      <c r="B38" s="6">
        <v>423</v>
      </c>
      <c r="C38" s="8" t="s">
        <v>139</v>
      </c>
      <c r="D38" s="10"/>
    </row>
    <row r="39" spans="1:4" x14ac:dyDescent="0.25">
      <c r="A39" s="6">
        <v>38</v>
      </c>
      <c r="B39" s="6">
        <v>424</v>
      </c>
      <c r="C39" s="8" t="s">
        <v>62</v>
      </c>
      <c r="D39" s="10"/>
    </row>
    <row r="40" spans="1:4" x14ac:dyDescent="0.25">
      <c r="A40" s="6">
        <v>39</v>
      </c>
      <c r="B40" s="6">
        <v>114</v>
      </c>
      <c r="C40" s="19" t="s">
        <v>63</v>
      </c>
      <c r="D40" s="56"/>
    </row>
    <row r="41" spans="1:4" x14ac:dyDescent="0.25">
      <c r="A41" s="49">
        <v>40</v>
      </c>
      <c r="B41" s="49">
        <v>340</v>
      </c>
      <c r="C41" s="8" t="s">
        <v>65</v>
      </c>
      <c r="D41" s="10"/>
    </row>
    <row r="42" spans="1:4" x14ac:dyDescent="0.25">
      <c r="A42" s="49">
        <v>41</v>
      </c>
      <c r="B42" s="49">
        <v>338</v>
      </c>
      <c r="C42" s="8" t="s">
        <v>66</v>
      </c>
      <c r="D42" s="10"/>
    </row>
  </sheetData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showGridLines="0" view="pageBreakPreview" zoomScale="85" zoomScaleNormal="85" zoomScaleSheetLayoutView="85" workbookViewId="0">
      <selection activeCell="I20" sqref="I20"/>
    </sheetView>
  </sheetViews>
  <sheetFormatPr defaultColWidth="8.85546875" defaultRowHeight="14.25" x14ac:dyDescent="0.2"/>
  <cols>
    <col min="1" max="1" width="1" style="5" customWidth="1"/>
    <col min="2" max="2" width="6.42578125" style="10" bestFit="1" customWidth="1"/>
    <col min="3" max="3" width="35.85546875" style="3" customWidth="1"/>
    <col min="4" max="4" width="13.85546875" style="2" bestFit="1" customWidth="1"/>
    <col min="5" max="5" width="6.85546875" style="3" bestFit="1" customWidth="1"/>
    <col min="6" max="6" width="11" style="4" bestFit="1" customWidth="1"/>
    <col min="7" max="7" width="9.85546875" style="3" bestFit="1" customWidth="1"/>
    <col min="8" max="8" width="14.42578125" style="4" bestFit="1" customWidth="1"/>
    <col min="9" max="9" width="11" style="4" bestFit="1" customWidth="1"/>
    <col min="10" max="10" width="10.85546875" style="4" customWidth="1"/>
    <col min="11" max="11" width="12" style="4" customWidth="1"/>
    <col min="12" max="12" width="14.85546875" style="4" customWidth="1"/>
    <col min="13" max="13" width="18.85546875" style="3" bestFit="1" customWidth="1"/>
    <col min="14" max="14" width="21.42578125" style="3" customWidth="1"/>
    <col min="15" max="15" width="10.5703125" style="42" bestFit="1" customWidth="1"/>
    <col min="16" max="16" width="10.85546875" style="5" bestFit="1" customWidth="1"/>
    <col min="17" max="17" width="8.85546875" style="10"/>
    <col min="18" max="16384" width="8.85546875" style="5"/>
  </cols>
  <sheetData>
    <row r="1" spans="2:19" ht="5.25" customHeight="1" x14ac:dyDescent="0.2"/>
    <row r="2" spans="2:19" s="29" customFormat="1" ht="15.75" x14ac:dyDescent="0.25">
      <c r="B2" s="224" t="s">
        <v>0</v>
      </c>
      <c r="C2" s="224"/>
      <c r="F2" s="224" t="s">
        <v>111</v>
      </c>
      <c r="G2" s="224"/>
      <c r="H2" s="224"/>
      <c r="I2" s="224"/>
      <c r="J2" s="30"/>
      <c r="K2" s="236" t="s">
        <v>2</v>
      </c>
      <c r="L2" s="281">
        <f>OCC!T2</f>
        <v>46213</v>
      </c>
      <c r="M2" s="281"/>
      <c r="N2" s="128"/>
      <c r="O2" s="43"/>
      <c r="Q2" s="41"/>
    </row>
    <row r="3" spans="2:19" s="29" customFormat="1" ht="15.75" x14ac:dyDescent="0.25">
      <c r="B3" s="224"/>
      <c r="C3" s="224"/>
      <c r="F3" s="224"/>
      <c r="G3" s="224"/>
      <c r="H3" s="224"/>
      <c r="I3" s="224"/>
      <c r="J3" s="30"/>
      <c r="K3" s="236"/>
      <c r="L3" s="281"/>
      <c r="M3" s="281"/>
      <c r="N3" s="128"/>
      <c r="O3" s="43"/>
      <c r="Q3" s="41"/>
    </row>
    <row r="4" spans="2:19" s="29" customFormat="1" ht="15.75" x14ac:dyDescent="0.25">
      <c r="B4" s="224"/>
      <c r="C4" s="224"/>
      <c r="F4" s="224"/>
      <c r="G4" s="224"/>
      <c r="H4" s="224"/>
      <c r="I4" s="224"/>
      <c r="J4" s="30"/>
      <c r="K4" s="236"/>
      <c r="L4" s="281"/>
      <c r="M4" s="281"/>
      <c r="N4" s="128"/>
      <c r="O4" s="43"/>
      <c r="Q4" s="41"/>
    </row>
    <row r="5" spans="2:19" s="29" customFormat="1" ht="15.75" x14ac:dyDescent="0.25">
      <c r="B5" s="224"/>
      <c r="C5" s="224"/>
      <c r="F5" s="224"/>
      <c r="G5" s="224"/>
      <c r="H5" s="224"/>
      <c r="I5" s="224"/>
      <c r="J5" s="30"/>
      <c r="K5" s="236"/>
      <c r="L5" s="281"/>
      <c r="M5" s="281"/>
      <c r="N5" s="128"/>
      <c r="O5" s="43"/>
      <c r="P5" s="29" t="s">
        <v>4</v>
      </c>
      <c r="Q5" s="41">
        <f>S5/R5:R6</f>
        <v>0</v>
      </c>
      <c r="R5" s="29">
        <v>14</v>
      </c>
      <c r="S5" s="46"/>
    </row>
    <row r="6" spans="2:19" s="29" customFormat="1" ht="15.75" x14ac:dyDescent="0.25">
      <c r="B6" s="224"/>
      <c r="C6" s="224"/>
      <c r="F6" s="224"/>
      <c r="G6" s="224"/>
      <c r="H6" s="224"/>
      <c r="I6" s="224"/>
      <c r="J6" s="30"/>
      <c r="K6" s="236"/>
      <c r="L6" s="281"/>
      <c r="M6" s="281"/>
      <c r="N6" s="128"/>
      <c r="O6" s="43"/>
      <c r="Q6" s="41"/>
    </row>
    <row r="7" spans="2:19" s="29" customFormat="1" ht="15.75" x14ac:dyDescent="0.25">
      <c r="B7" s="120"/>
      <c r="C7" s="120"/>
      <c r="F7" s="120"/>
      <c r="G7" s="120"/>
      <c r="H7" s="120"/>
      <c r="I7" s="120"/>
      <c r="J7" s="47"/>
      <c r="K7" s="121"/>
      <c r="L7" s="128"/>
      <c r="M7" s="128"/>
      <c r="N7" s="128"/>
      <c r="O7" s="43"/>
      <c r="P7" s="29" t="s">
        <v>5</v>
      </c>
      <c r="Q7" s="41">
        <v>0</v>
      </c>
    </row>
    <row r="8" spans="2:19" ht="15" x14ac:dyDescent="0.25">
      <c r="B8" s="202" t="s">
        <v>6</v>
      </c>
      <c r="C8" s="48" t="s">
        <v>112</v>
      </c>
      <c r="D8" s="282" t="s">
        <v>113</v>
      </c>
      <c r="E8" s="202" t="s">
        <v>114</v>
      </c>
      <c r="F8" s="232" t="s">
        <v>115</v>
      </c>
      <c r="G8" s="202" t="s">
        <v>116</v>
      </c>
      <c r="H8" s="232" t="s">
        <v>17</v>
      </c>
      <c r="I8" s="232" t="s">
        <v>18</v>
      </c>
      <c r="J8" s="232" t="s">
        <v>19</v>
      </c>
      <c r="K8" s="232" t="s">
        <v>117</v>
      </c>
      <c r="L8" s="232" t="s">
        <v>20</v>
      </c>
      <c r="M8" s="202" t="s">
        <v>22</v>
      </c>
      <c r="N8" s="202" t="s">
        <v>23</v>
      </c>
    </row>
    <row r="9" spans="2:19" ht="5.25" customHeight="1" x14ac:dyDescent="0.25">
      <c r="B9" s="202"/>
      <c r="C9" s="12"/>
      <c r="D9" s="282"/>
      <c r="E9" s="202"/>
      <c r="F9" s="232"/>
      <c r="G9" s="202"/>
      <c r="H9" s="232"/>
      <c r="I9" s="232"/>
      <c r="J9" s="232"/>
      <c r="K9" s="232"/>
      <c r="L9" s="232"/>
      <c r="M9" s="202"/>
      <c r="N9" s="202"/>
    </row>
    <row r="10" spans="2:19" s="1" customFormat="1" ht="15" x14ac:dyDescent="0.25">
      <c r="B10" s="202"/>
      <c r="C10" s="12" t="s">
        <v>28</v>
      </c>
      <c r="D10" s="283"/>
      <c r="E10" s="205"/>
      <c r="F10" s="233"/>
      <c r="G10" s="205"/>
      <c r="H10" s="233"/>
      <c r="I10" s="233"/>
      <c r="J10" s="233"/>
      <c r="K10" s="233"/>
      <c r="L10" s="233"/>
      <c r="M10" s="205"/>
      <c r="N10" s="205"/>
      <c r="O10" s="44"/>
      <c r="Q10" s="37"/>
    </row>
    <row r="11" spans="2:19" ht="15" x14ac:dyDescent="0.25">
      <c r="B11" s="49">
        <v>1</v>
      </c>
      <c r="C11" s="50" t="s">
        <v>118</v>
      </c>
      <c r="D11" s="16">
        <v>200</v>
      </c>
      <c r="E11" s="9"/>
      <c r="F11" s="16">
        <f>SUM(D11)/8*1.5</f>
        <v>37.5</v>
      </c>
      <c r="G11" s="9"/>
      <c r="H11" s="16">
        <v>0</v>
      </c>
      <c r="I11" s="7"/>
      <c r="J11" s="7"/>
      <c r="K11" s="16"/>
      <c r="L11" s="16">
        <f>(D11*E11)+(F11*G11)-H11-I11-J11+K11</f>
        <v>0</v>
      </c>
      <c r="M11" s="8" t="s">
        <v>36</v>
      </c>
      <c r="N11" s="59"/>
      <c r="O11" s="42">
        <f>L11+J11+I11+H11</f>
        <v>0</v>
      </c>
    </row>
    <row r="12" spans="2:19" ht="15" x14ac:dyDescent="0.25">
      <c r="B12" s="6">
        <v>2</v>
      </c>
      <c r="C12" s="50" t="s">
        <v>119</v>
      </c>
      <c r="D12" s="16">
        <v>200</v>
      </c>
      <c r="E12" s="9"/>
      <c r="F12" s="16">
        <f>SUM(D12)/8*1.5</f>
        <v>37.5</v>
      </c>
      <c r="G12" s="9"/>
      <c r="H12" s="16">
        <v>0</v>
      </c>
      <c r="I12" s="7"/>
      <c r="J12" s="7">
        <f>OCC!X4</f>
        <v>20</v>
      </c>
      <c r="K12" s="16"/>
      <c r="L12" s="16">
        <f>(D12*E12)+(F12*G12)-H12-I12-J12+K12</f>
        <v>-20</v>
      </c>
      <c r="M12" s="8" t="s">
        <v>58</v>
      </c>
      <c r="N12" s="59"/>
      <c r="O12" s="42">
        <f t="shared" ref="O12:O33" si="0">L12+J12+I12+H12</f>
        <v>0</v>
      </c>
    </row>
    <row r="13" spans="2:19" ht="15" x14ac:dyDescent="0.25">
      <c r="B13" s="6">
        <v>3</v>
      </c>
      <c r="C13" s="50" t="s">
        <v>120</v>
      </c>
      <c r="D13" s="16">
        <v>200</v>
      </c>
      <c r="E13" s="9"/>
      <c r="F13" s="16">
        <f>SUM(D13)/8*1.5</f>
        <v>37.5</v>
      </c>
      <c r="G13" s="9"/>
      <c r="H13" s="16">
        <v>0</v>
      </c>
      <c r="I13" s="7"/>
      <c r="J13" s="7">
        <f>OCC!X4</f>
        <v>20</v>
      </c>
      <c r="K13" s="16"/>
      <c r="L13" s="16">
        <f>(D13*E13)+(F13*G13)-H13-I13-J13+K13</f>
        <v>-20</v>
      </c>
      <c r="M13" s="8" t="s">
        <v>121</v>
      </c>
      <c r="N13" s="59"/>
      <c r="O13" s="42">
        <f t="shared" si="0"/>
        <v>0</v>
      </c>
    </row>
    <row r="14" spans="2:19" ht="15" x14ac:dyDescent="0.25">
      <c r="B14" s="49">
        <v>4</v>
      </c>
      <c r="C14" s="50" t="s">
        <v>122</v>
      </c>
      <c r="D14" s="16">
        <v>200</v>
      </c>
      <c r="E14" s="9"/>
      <c r="F14" s="16">
        <f>SUM(D14)/8*1.5</f>
        <v>37.5</v>
      </c>
      <c r="G14" s="9"/>
      <c r="H14" s="16">
        <v>0</v>
      </c>
      <c r="I14" s="7"/>
      <c r="J14" s="7"/>
      <c r="K14" s="16"/>
      <c r="L14" s="16">
        <f>(D14*E14)+(F14*G14)-H14-I14-J14+K14</f>
        <v>0</v>
      </c>
      <c r="M14" s="8" t="s">
        <v>36</v>
      </c>
      <c r="N14" s="59"/>
      <c r="O14" s="42">
        <f t="shared" si="0"/>
        <v>0</v>
      </c>
    </row>
    <row r="15" spans="2:19" ht="15" x14ac:dyDescent="0.25">
      <c r="B15" s="6">
        <v>5</v>
      </c>
      <c r="C15" s="50" t="s">
        <v>123</v>
      </c>
      <c r="D15" s="16">
        <v>200</v>
      </c>
      <c r="E15" s="9"/>
      <c r="F15" s="16">
        <f t="shared" ref="F15:F17" si="1">SUM(D15)/8*1.5</f>
        <v>37.5</v>
      </c>
      <c r="G15" s="9"/>
      <c r="H15" s="16">
        <v>0</v>
      </c>
      <c r="I15" s="7"/>
      <c r="J15" s="7"/>
      <c r="K15" s="16"/>
      <c r="L15" s="16">
        <f t="shared" ref="L15:L17" si="2">(D15*E15)+(F15*G15)-H15-I15-J15+K15</f>
        <v>0</v>
      </c>
      <c r="M15" s="8" t="s">
        <v>121</v>
      </c>
      <c r="N15" s="59"/>
      <c r="O15" s="42">
        <f t="shared" si="0"/>
        <v>0</v>
      </c>
    </row>
    <row r="16" spans="2:19" ht="15" x14ac:dyDescent="0.25">
      <c r="B16" s="6">
        <v>6</v>
      </c>
      <c r="C16" s="50" t="s">
        <v>73</v>
      </c>
      <c r="D16" s="16">
        <v>200</v>
      </c>
      <c r="E16" s="9"/>
      <c r="F16" s="16">
        <f t="shared" si="1"/>
        <v>37.5</v>
      </c>
      <c r="G16" s="9"/>
      <c r="H16" s="16">
        <v>0</v>
      </c>
      <c r="I16" s="7"/>
      <c r="J16" s="7"/>
      <c r="K16" s="16"/>
      <c r="L16" s="16">
        <f t="shared" si="2"/>
        <v>0</v>
      </c>
      <c r="M16" s="8" t="s">
        <v>36</v>
      </c>
      <c r="N16" s="59"/>
      <c r="O16" s="42">
        <f t="shared" si="0"/>
        <v>0</v>
      </c>
    </row>
    <row r="17" spans="2:15" ht="15" x14ac:dyDescent="0.25">
      <c r="B17" s="49">
        <v>7</v>
      </c>
      <c r="C17" s="50" t="s">
        <v>124</v>
      </c>
      <c r="D17" s="16">
        <v>200</v>
      </c>
      <c r="E17" s="9"/>
      <c r="F17" s="16">
        <f t="shared" si="1"/>
        <v>37.5</v>
      </c>
      <c r="G17" s="9"/>
      <c r="H17" s="16">
        <v>0</v>
      </c>
      <c r="I17" s="7"/>
      <c r="J17" s="7"/>
      <c r="K17" s="16"/>
      <c r="L17" s="16">
        <f t="shared" si="2"/>
        <v>0</v>
      </c>
      <c r="M17" s="8" t="s">
        <v>121</v>
      </c>
      <c r="N17" s="59"/>
      <c r="O17" s="42">
        <f t="shared" si="0"/>
        <v>0</v>
      </c>
    </row>
    <row r="18" spans="2:15" ht="15" x14ac:dyDescent="0.25">
      <c r="B18" s="6">
        <v>8</v>
      </c>
      <c r="C18" s="50"/>
      <c r="D18" s="16"/>
      <c r="E18" s="9"/>
      <c r="F18" s="16"/>
      <c r="G18" s="9"/>
      <c r="H18" s="16"/>
      <c r="I18" s="7"/>
      <c r="J18" s="7"/>
      <c r="K18" s="16"/>
      <c r="L18" s="16"/>
      <c r="M18" s="8"/>
      <c r="N18" s="59"/>
      <c r="O18" s="42">
        <f t="shared" si="0"/>
        <v>0</v>
      </c>
    </row>
    <row r="19" spans="2:15" ht="15" x14ac:dyDescent="0.25">
      <c r="B19" s="6">
        <v>9</v>
      </c>
      <c r="C19" s="8"/>
      <c r="D19" s="17"/>
      <c r="E19" s="9"/>
      <c r="F19" s="16"/>
      <c r="G19" s="9"/>
      <c r="H19" s="16"/>
      <c r="I19" s="7"/>
      <c r="J19" s="7"/>
      <c r="K19" s="16"/>
      <c r="L19" s="16"/>
      <c r="M19" s="8"/>
      <c r="N19" s="59"/>
      <c r="O19" s="42">
        <f t="shared" si="0"/>
        <v>0</v>
      </c>
    </row>
    <row r="20" spans="2:15" ht="15" x14ac:dyDescent="0.25">
      <c r="B20" s="49">
        <v>10</v>
      </c>
      <c r="C20" s="8"/>
      <c r="D20" s="17"/>
      <c r="E20" s="9"/>
      <c r="F20" s="16"/>
      <c r="G20" s="9"/>
      <c r="H20" s="16"/>
      <c r="I20" s="22"/>
      <c r="J20" s="22"/>
      <c r="K20" s="16"/>
      <c r="L20" s="16"/>
      <c r="M20" s="8"/>
      <c r="N20" s="59"/>
      <c r="O20" s="42">
        <f t="shared" si="0"/>
        <v>0</v>
      </c>
    </row>
    <row r="21" spans="2:15" ht="15" x14ac:dyDescent="0.25">
      <c r="B21" s="6">
        <v>11</v>
      </c>
      <c r="C21" s="8"/>
      <c r="D21" s="17"/>
      <c r="E21" s="9"/>
      <c r="F21" s="16"/>
      <c r="G21" s="51"/>
      <c r="H21" s="16"/>
      <c r="I21" s="7"/>
      <c r="J21" s="7"/>
      <c r="K21" s="16"/>
      <c r="L21" s="16"/>
      <c r="M21" s="21"/>
      <c r="N21" s="59"/>
      <c r="O21" s="42">
        <f t="shared" si="0"/>
        <v>0</v>
      </c>
    </row>
    <row r="22" spans="2:15" ht="15" x14ac:dyDescent="0.25">
      <c r="B22" s="6">
        <v>12</v>
      </c>
      <c r="C22" s="8"/>
      <c r="D22" s="17"/>
      <c r="E22" s="9"/>
      <c r="F22" s="16"/>
      <c r="G22" s="9"/>
      <c r="H22" s="16"/>
      <c r="I22" s="16"/>
      <c r="J22" s="16"/>
      <c r="K22" s="16"/>
      <c r="L22" s="16"/>
      <c r="M22" s="8"/>
      <c r="N22" s="59"/>
      <c r="O22" s="42">
        <f t="shared" si="0"/>
        <v>0</v>
      </c>
    </row>
    <row r="23" spans="2:15" ht="15" x14ac:dyDescent="0.25">
      <c r="B23" s="49">
        <v>13</v>
      </c>
      <c r="C23" s="13"/>
      <c r="D23" s="14"/>
      <c r="E23" s="52"/>
      <c r="F23" s="14"/>
      <c r="G23" s="52"/>
      <c r="H23" s="14"/>
      <c r="I23" s="15"/>
      <c r="J23" s="15"/>
      <c r="K23" s="14"/>
      <c r="L23" s="14"/>
      <c r="M23" s="13"/>
      <c r="N23" s="59"/>
      <c r="O23" s="42">
        <f t="shared" si="0"/>
        <v>0</v>
      </c>
    </row>
    <row r="24" spans="2:15" ht="15" customHeight="1" x14ac:dyDescent="0.25">
      <c r="B24" s="6">
        <v>14</v>
      </c>
      <c r="C24" s="8"/>
      <c r="D24" s="17"/>
      <c r="E24" s="9"/>
      <c r="F24" s="16"/>
      <c r="G24" s="9"/>
      <c r="H24" s="16"/>
      <c r="I24" s="7"/>
      <c r="J24" s="7"/>
      <c r="K24" s="16"/>
      <c r="L24" s="16"/>
      <c r="M24" s="8"/>
      <c r="N24" s="59"/>
      <c r="O24" s="42">
        <f t="shared" si="0"/>
        <v>0</v>
      </c>
    </row>
    <row r="25" spans="2:15" ht="15" x14ac:dyDescent="0.2">
      <c r="B25" s="49">
        <v>16</v>
      </c>
      <c r="C25" s="19"/>
      <c r="D25" s="20"/>
      <c r="E25" s="51"/>
      <c r="F25" s="16"/>
      <c r="G25" s="51"/>
      <c r="H25" s="18"/>
      <c r="I25" s="16"/>
      <c r="J25" s="16"/>
      <c r="K25" s="18"/>
      <c r="L25" s="16"/>
      <c r="M25" s="19"/>
      <c r="N25" s="59"/>
      <c r="O25" s="42">
        <f t="shared" si="0"/>
        <v>0</v>
      </c>
    </row>
    <row r="26" spans="2:15" ht="15" x14ac:dyDescent="0.25">
      <c r="B26" s="6">
        <v>17</v>
      </c>
      <c r="C26" s="19"/>
      <c r="D26" s="20"/>
      <c r="E26" s="51"/>
      <c r="F26" s="16"/>
      <c r="G26" s="51"/>
      <c r="H26" s="18"/>
      <c r="I26" s="7"/>
      <c r="J26" s="7"/>
      <c r="K26" s="18"/>
      <c r="L26" s="16"/>
      <c r="M26" s="53"/>
      <c r="N26" s="59"/>
      <c r="O26" s="42">
        <f t="shared" si="0"/>
        <v>0</v>
      </c>
    </row>
    <row r="27" spans="2:15" ht="15" x14ac:dyDescent="0.25">
      <c r="B27" s="6">
        <v>18</v>
      </c>
      <c r="C27" s="8"/>
      <c r="D27" s="17"/>
      <c r="E27" s="9"/>
      <c r="F27" s="16"/>
      <c r="G27" s="9"/>
      <c r="H27" s="16"/>
      <c r="I27" s="7"/>
      <c r="J27" s="7"/>
      <c r="K27" s="16"/>
      <c r="L27" s="16"/>
      <c r="M27" s="8"/>
      <c r="N27" s="59"/>
      <c r="O27" s="42">
        <f t="shared" si="0"/>
        <v>0</v>
      </c>
    </row>
    <row r="28" spans="2:15" ht="15" x14ac:dyDescent="0.25">
      <c r="B28" s="49">
        <v>19</v>
      </c>
      <c r="C28" s="8"/>
      <c r="D28" s="17"/>
      <c r="E28" s="9"/>
      <c r="F28" s="16"/>
      <c r="G28" s="9"/>
      <c r="H28" s="16"/>
      <c r="I28" s="22"/>
      <c r="J28" s="22"/>
      <c r="K28" s="16"/>
      <c r="L28" s="16"/>
      <c r="M28" s="8"/>
      <c r="N28" s="59"/>
      <c r="O28" s="42">
        <f t="shared" si="0"/>
        <v>0</v>
      </c>
    </row>
    <row r="29" spans="2:15" ht="15" x14ac:dyDescent="0.25">
      <c r="B29" s="6">
        <v>20</v>
      </c>
      <c r="C29" s="8"/>
      <c r="D29" s="17"/>
      <c r="E29" s="9"/>
      <c r="F29" s="16"/>
      <c r="G29" s="9"/>
      <c r="H29" s="16"/>
      <c r="I29" s="7"/>
      <c r="J29" s="7"/>
      <c r="K29" s="16"/>
      <c r="L29" s="16"/>
      <c r="M29" s="8"/>
      <c r="N29" s="59"/>
      <c r="O29" s="42">
        <f t="shared" si="0"/>
        <v>0</v>
      </c>
    </row>
    <row r="30" spans="2:15" ht="15" x14ac:dyDescent="0.25">
      <c r="B30" s="6">
        <v>21</v>
      </c>
      <c r="C30" s="19"/>
      <c r="D30" s="18"/>
      <c r="E30" s="51"/>
      <c r="F30" s="16"/>
      <c r="G30" s="51"/>
      <c r="H30" s="18"/>
      <c r="I30" s="16"/>
      <c r="J30" s="16"/>
      <c r="K30" s="18"/>
      <c r="L30" s="16"/>
      <c r="M30" s="19"/>
      <c r="N30" s="59"/>
      <c r="O30" s="42">
        <f t="shared" si="0"/>
        <v>0</v>
      </c>
    </row>
    <row r="31" spans="2:15" ht="15" x14ac:dyDescent="0.25">
      <c r="B31" s="49">
        <v>22</v>
      </c>
      <c r="C31" s="8"/>
      <c r="D31" s="17"/>
      <c r="E31" s="9"/>
      <c r="F31" s="16"/>
      <c r="G31" s="9"/>
      <c r="H31" s="16"/>
      <c r="I31" s="7"/>
      <c r="J31" s="7"/>
      <c r="K31" s="16"/>
      <c r="L31" s="16"/>
      <c r="M31" s="54"/>
      <c r="N31" s="107"/>
      <c r="O31" s="42">
        <f t="shared" si="0"/>
        <v>0</v>
      </c>
    </row>
    <row r="32" spans="2:15" ht="15" x14ac:dyDescent="0.25">
      <c r="B32" s="6">
        <v>23</v>
      </c>
      <c r="C32" s="8"/>
      <c r="D32" s="16"/>
      <c r="E32" s="9"/>
      <c r="F32" s="16"/>
      <c r="G32" s="9"/>
      <c r="H32" s="16"/>
      <c r="I32" s="7"/>
      <c r="J32" s="7"/>
      <c r="K32" s="16"/>
      <c r="L32" s="16"/>
      <c r="M32" s="8"/>
      <c r="N32" s="59"/>
      <c r="O32" s="42">
        <f t="shared" si="0"/>
        <v>0</v>
      </c>
    </row>
    <row r="33" spans="1:19" ht="15" x14ac:dyDescent="0.25">
      <c r="B33" s="6">
        <v>24</v>
      </c>
      <c r="C33" s="19"/>
      <c r="D33" s="18"/>
      <c r="E33" s="51"/>
      <c r="F33" s="16"/>
      <c r="G33" s="51"/>
      <c r="H33" s="18"/>
      <c r="I33" s="7"/>
      <c r="J33" s="7"/>
      <c r="K33" s="18"/>
      <c r="L33" s="16"/>
      <c r="M33" s="19"/>
      <c r="N33" s="59"/>
      <c r="O33" s="42">
        <f t="shared" si="0"/>
        <v>0</v>
      </c>
    </row>
    <row r="35" spans="1:19" ht="15" x14ac:dyDescent="0.25">
      <c r="B35" s="55"/>
      <c r="C35" s="55"/>
      <c r="D35" s="55"/>
      <c r="F35" s="238" t="s">
        <v>125</v>
      </c>
      <c r="G35" s="238"/>
      <c r="H35" s="7">
        <f t="shared" ref="H35:K35" si="3">SUM(H11:H34)</f>
        <v>0</v>
      </c>
      <c r="I35" s="7">
        <f t="shared" si="3"/>
        <v>0</v>
      </c>
      <c r="J35" s="7">
        <f t="shared" si="3"/>
        <v>40</v>
      </c>
      <c r="K35" s="7">
        <f t="shared" si="3"/>
        <v>0</v>
      </c>
      <c r="L35" s="7">
        <f>SUM(L11:L34)</f>
        <v>-40</v>
      </c>
      <c r="M35" s="26"/>
      <c r="N35" s="26"/>
    </row>
    <row r="36" spans="1:19" ht="15" x14ac:dyDescent="0.25">
      <c r="B36" s="1"/>
      <c r="C36" s="56"/>
      <c r="D36" s="57"/>
      <c r="E36" s="31"/>
      <c r="F36" s="31"/>
      <c r="G36" s="31"/>
      <c r="H36" s="23" t="s">
        <v>17</v>
      </c>
      <c r="I36" s="23" t="s">
        <v>18</v>
      </c>
      <c r="J36" s="23" t="s">
        <v>19</v>
      </c>
      <c r="K36" s="23" t="s">
        <v>96</v>
      </c>
      <c r="L36" s="23" t="s">
        <v>21</v>
      </c>
    </row>
    <row r="37" spans="1:19" ht="15" x14ac:dyDescent="0.25">
      <c r="B37" s="1"/>
      <c r="C37" s="10"/>
      <c r="D37" s="57"/>
      <c r="E37" s="31"/>
      <c r="F37" s="5"/>
      <c r="G37" s="5"/>
      <c r="H37" s="5"/>
      <c r="I37" s="5"/>
      <c r="J37" s="5"/>
      <c r="K37" s="5"/>
      <c r="L37" s="5"/>
    </row>
    <row r="38" spans="1:19" s="42" customFormat="1" ht="15" x14ac:dyDescent="0.25">
      <c r="A38" s="5"/>
      <c r="B38" s="1"/>
      <c r="C38" s="10"/>
      <c r="D38" s="57"/>
      <c r="E38" s="31"/>
      <c r="F38" s="241" t="s">
        <v>126</v>
      </c>
      <c r="G38" s="241"/>
      <c r="H38" s="24">
        <v>0</v>
      </c>
      <c r="I38" s="5"/>
      <c r="J38" s="32" t="s">
        <v>127</v>
      </c>
      <c r="K38" s="33"/>
      <c r="L38" s="34"/>
      <c r="M38" s="3"/>
      <c r="N38" s="3"/>
      <c r="P38" s="5"/>
      <c r="Q38" s="10"/>
      <c r="R38" s="5"/>
      <c r="S38" s="5"/>
    </row>
    <row r="39" spans="1:19" s="42" customFormat="1" ht="15" x14ac:dyDescent="0.25">
      <c r="A39" s="5"/>
      <c r="B39" s="1"/>
      <c r="C39" s="10"/>
      <c r="D39" s="5"/>
      <c r="E39" s="31"/>
      <c r="F39" s="241" t="s">
        <v>128</v>
      </c>
      <c r="G39" s="241"/>
      <c r="H39" s="24">
        <f>L11+L14+L16+L18+L12</f>
        <v>-20</v>
      </c>
      <c r="I39" s="30"/>
      <c r="J39" s="35">
        <v>0</v>
      </c>
      <c r="K39" s="127"/>
      <c r="L39" s="36"/>
      <c r="M39" s="3"/>
      <c r="N39" s="3"/>
      <c r="P39" s="5"/>
      <c r="Q39" s="10"/>
      <c r="R39" s="5"/>
      <c r="S39" s="5"/>
    </row>
    <row r="40" spans="1:19" s="42" customFormat="1" ht="15" x14ac:dyDescent="0.25">
      <c r="A40" s="5"/>
      <c r="B40" s="5"/>
      <c r="C40" s="37"/>
      <c r="D40" s="2"/>
      <c r="E40" s="3"/>
      <c r="F40" s="238" t="s">
        <v>129</v>
      </c>
      <c r="G40" s="238"/>
      <c r="H40" s="24">
        <f>L13+L15+L17</f>
        <v>-20</v>
      </c>
      <c r="I40" s="127"/>
      <c r="J40" s="35">
        <v>0</v>
      </c>
      <c r="K40" s="5"/>
      <c r="L40" s="38"/>
      <c r="M40" s="39"/>
      <c r="N40" s="39"/>
      <c r="P40" s="5"/>
      <c r="Q40" s="10"/>
      <c r="R40" s="5"/>
      <c r="S40" s="5"/>
    </row>
    <row r="41" spans="1:19" s="42" customFormat="1" ht="15" x14ac:dyDescent="0.25">
      <c r="A41" s="5"/>
      <c r="B41" s="5"/>
      <c r="C41" s="37"/>
      <c r="D41" s="58"/>
      <c r="E41" s="3"/>
      <c r="F41" s="238"/>
      <c r="G41" s="238"/>
      <c r="H41" s="24"/>
      <c r="I41" s="11"/>
      <c r="J41" s="5"/>
      <c r="K41" s="5"/>
      <c r="L41" s="5"/>
      <c r="M41" s="127"/>
      <c r="N41" s="127"/>
      <c r="P41" s="5"/>
      <c r="Q41" s="10"/>
      <c r="R41" s="5"/>
      <c r="S41" s="5"/>
    </row>
    <row r="42" spans="1:19" s="42" customFormat="1" ht="15" x14ac:dyDescent="0.25">
      <c r="A42" s="5"/>
      <c r="B42" s="5"/>
      <c r="C42" s="37"/>
      <c r="D42" s="2"/>
      <c r="E42" s="5"/>
      <c r="F42" s="238" t="s">
        <v>130</v>
      </c>
      <c r="G42" s="238"/>
      <c r="H42" s="45">
        <f>H40</f>
        <v>-20</v>
      </c>
      <c r="I42" s="27"/>
      <c r="J42" s="28"/>
      <c r="K42" s="28"/>
      <c r="L42" s="40"/>
      <c r="M42" s="5"/>
      <c r="N42" s="5"/>
      <c r="P42" s="5"/>
      <c r="Q42" s="10"/>
      <c r="R42" s="5"/>
      <c r="S42" s="5"/>
    </row>
    <row r="43" spans="1:19" s="42" customFormat="1" ht="15" x14ac:dyDescent="0.25">
      <c r="A43" s="5"/>
      <c r="B43" s="5"/>
      <c r="C43" s="37"/>
      <c r="D43" s="2"/>
      <c r="E43" s="5"/>
      <c r="F43" s="237" t="s">
        <v>98</v>
      </c>
      <c r="G43" s="237"/>
      <c r="H43" s="25">
        <f>H38+H39+H40</f>
        <v>-40</v>
      </c>
      <c r="I43" s="40"/>
      <c r="J43" s="10"/>
      <c r="K43" s="10"/>
      <c r="L43" s="10"/>
      <c r="M43" s="10"/>
      <c r="N43" s="10"/>
      <c r="P43" s="5"/>
      <c r="Q43" s="10"/>
      <c r="R43" s="5"/>
      <c r="S43" s="5"/>
    </row>
    <row r="44" spans="1:19" s="42" customFormat="1" ht="15" x14ac:dyDescent="0.25">
      <c r="A44" s="5"/>
      <c r="B44" s="287" t="s">
        <v>97</v>
      </c>
      <c r="C44" s="287"/>
      <c r="D44" s="2"/>
      <c r="E44" s="3"/>
      <c r="F44" s="5"/>
      <c r="G44" s="5"/>
      <c r="H44" s="5"/>
      <c r="I44" s="11"/>
      <c r="J44" s="32"/>
      <c r="K44" s="33"/>
      <c r="L44" s="34"/>
      <c r="M44" s="39"/>
      <c r="N44" s="39"/>
      <c r="P44" s="5"/>
      <c r="Q44" s="10"/>
      <c r="R44" s="5"/>
      <c r="S44" s="5"/>
    </row>
    <row r="45" spans="1:19" s="42" customFormat="1" x14ac:dyDescent="0.2">
      <c r="A45" s="5"/>
      <c r="B45" s="284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6"/>
      <c r="P45" s="5"/>
      <c r="Q45" s="10"/>
      <c r="R45" s="5"/>
      <c r="S45" s="5"/>
    </row>
    <row r="46" spans="1:19" s="42" customFormat="1" x14ac:dyDescent="0.2">
      <c r="A46" s="5"/>
      <c r="B46" s="284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6"/>
      <c r="P46" s="5"/>
      <c r="Q46" s="10"/>
      <c r="R46" s="5"/>
      <c r="S46" s="5"/>
    </row>
    <row r="47" spans="1:19" x14ac:dyDescent="0.2">
      <c r="B47" s="284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6"/>
    </row>
    <row r="48" spans="1:19" x14ac:dyDescent="0.2">
      <c r="B48" s="284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6"/>
    </row>
    <row r="49" spans="2:14" x14ac:dyDescent="0.2">
      <c r="B49" s="284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6"/>
    </row>
    <row r="50" spans="2:14" x14ac:dyDescent="0.2">
      <c r="B50" s="284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6"/>
    </row>
    <row r="51" spans="2:14" x14ac:dyDescent="0.2">
      <c r="B51" s="284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6"/>
    </row>
    <row r="52" spans="2:14" x14ac:dyDescent="0.2">
      <c r="B52" s="284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6"/>
    </row>
    <row r="53" spans="2:14" x14ac:dyDescent="0.2">
      <c r="B53" s="284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6"/>
    </row>
    <row r="54" spans="2:14" x14ac:dyDescent="0.2">
      <c r="B54" s="284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6"/>
    </row>
  </sheetData>
  <mergeCells count="34">
    <mergeCell ref="B54:N54"/>
    <mergeCell ref="F43:G43"/>
    <mergeCell ref="B44:C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F42:G42"/>
    <mergeCell ref="I8:I10"/>
    <mergeCell ref="J8:J10"/>
    <mergeCell ref="K8:K10"/>
    <mergeCell ref="L8:L10"/>
    <mergeCell ref="F35:G35"/>
    <mergeCell ref="F38:G38"/>
    <mergeCell ref="F39:G39"/>
    <mergeCell ref="F40:G40"/>
    <mergeCell ref="F41:G41"/>
    <mergeCell ref="M8:M10"/>
    <mergeCell ref="N8:N10"/>
    <mergeCell ref="B2:C6"/>
    <mergeCell ref="F2:I6"/>
    <mergeCell ref="K2:K6"/>
    <mergeCell ref="L2:M6"/>
    <mergeCell ref="B8:B10"/>
    <mergeCell ref="D8:D10"/>
    <mergeCell ref="E8:E10"/>
    <mergeCell ref="F8:F10"/>
    <mergeCell ref="G8:G10"/>
    <mergeCell ref="H8:H10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OCC</vt:lpstr>
      <vt:lpstr>STUB</vt:lpstr>
      <vt:lpstr>Sheet1</vt:lpstr>
      <vt:lpstr>KROONVAAL</vt:lpstr>
      <vt:lpstr>KROONVAAL!Print_Area</vt:lpstr>
      <vt:lpstr>OCC!Print_Area</vt:lpstr>
      <vt:lpstr>STUB!Print_Area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Vernon Steenberg</dc:creator>
  <cp:keywords/>
  <dc:description/>
  <cp:lastModifiedBy>Neil Ketting</cp:lastModifiedBy>
  <cp:revision/>
  <cp:lastPrinted>2026-06-11T11:33:40Z</cp:lastPrinted>
  <dcterms:created xsi:type="dcterms:W3CDTF">2015-01-14T10:35:33Z</dcterms:created>
  <dcterms:modified xsi:type="dcterms:W3CDTF">2026-07-08T14:56:22Z</dcterms:modified>
  <cp:category/>
  <cp:contentStatus/>
</cp:coreProperties>
</file>