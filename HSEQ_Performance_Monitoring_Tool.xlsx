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VernonSteenberg\Documents\HSEQ\HSEQ 2025\"/>
    </mc:Choice>
  </mc:AlternateContent>
  <xr:revisionPtr revIDLastSave="0" documentId="13_ncr:20001_{6C6DD56C-74DB-45D2-8F04-97407EA2860A}" xr6:coauthVersionLast="47" xr6:coauthVersionMax="47" xr10:uidLastSave="{00000000-0000-0000-0000-000000000000}"/>
  <bookViews>
    <workbookView xWindow="-108" yWindow="-108" windowWidth="23256" windowHeight="12456" xr2:uid="{00000000-000D-0000-FFFF-FFFF00000000}"/>
  </bookViews>
  <sheets>
    <sheet name="OCC HSEQ DASHBOARD" sheetId="9" r:id="rId1"/>
    <sheet name="Safe Working Hours Data" sheetId="17" r:id="rId2"/>
    <sheet name="Safe hours - Data" sheetId="1" r:id="rId3"/>
    <sheet name="PT - Audit Data" sheetId="14" r:id="rId4"/>
    <sheet name="Audit data" sheetId="8" r:id="rId5"/>
    <sheet name="Audit Average" sheetId="10" r:id="rId6"/>
    <sheet name="Audit Findings" sheetId="12" r:id="rId7"/>
    <sheet name="Audit Report" sheetId="11" r:id="rId8"/>
    <sheet name="Audit numbers" sheetId="13" r:id="rId9"/>
    <sheet name="Audit &amp; Inspection reports" sheetId="2" r:id="rId10"/>
    <sheet name="Totals training" sheetId="18" r:id="rId11"/>
    <sheet name="Training Records" sheetId="3" r:id="rId12"/>
  </sheets>
  <definedNames>
    <definedName name="Slicer_Month">#N/A</definedName>
    <definedName name="Slicer_Safe_work_hours">#N/A</definedName>
  </definedNames>
  <calcPr calcId="191029"/>
  <pivotCaches>
    <pivotCache cacheId="376" r:id="rId13"/>
    <pivotCache cacheId="380" r:id="rId14"/>
    <pivotCache cacheId="385" r:id="rId15"/>
    <pivotCache cacheId="389" r:id="rId16"/>
    <pivotCache cacheId="400" r:id="rId17"/>
    <pivotCache cacheId="405" r:id="rId18"/>
  </pivotCaches>
  <fileRecoveryPr repairLoad="1"/>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<sst xmlns="http://schemas.openxmlformats.org/spreadsheetml/2006/main" count="831" uniqueCount="197">
  <si>
    <t>Root Cause</t>
  </si>
  <si>
    <t>Corrective Actions</t>
  </si>
  <si>
    <t>Status</t>
  </si>
  <si>
    <t>Reported By</t>
  </si>
  <si>
    <t>Employee Name</t>
  </si>
  <si>
    <t>Role</t>
  </si>
  <si>
    <t>Training Topic</t>
  </si>
  <si>
    <t>Date Completed</t>
  </si>
  <si>
    <t>Valid Until</t>
  </si>
  <si>
    <t>Trainer</t>
  </si>
  <si>
    <t>Certificate</t>
  </si>
  <si>
    <t>SITE NAME</t>
  </si>
  <si>
    <t>DATE</t>
  </si>
  <si>
    <t>AUDITOR</t>
  </si>
  <si>
    <t>FINDINGS</t>
  </si>
  <si>
    <t>NON-CONFORMANCE</t>
  </si>
  <si>
    <t>IMMEDIATE ACTION</t>
  </si>
  <si>
    <t>STATUS</t>
  </si>
  <si>
    <t>CLOSE OUT DATE</t>
  </si>
  <si>
    <t>ROSHNEE</t>
  </si>
  <si>
    <t>PRIME OSH</t>
  </si>
  <si>
    <t>Column1</t>
  </si>
  <si>
    <t>AUDIT SCORE</t>
  </si>
  <si>
    <t>TARGET</t>
  </si>
  <si>
    <t>COMPLETE</t>
  </si>
  <si>
    <t>05/12/2024</t>
  </si>
  <si>
    <t>STACKING AND STORAGE</t>
  </si>
  <si>
    <t>Row Labels</t>
  </si>
  <si>
    <t>Grand Total</t>
  </si>
  <si>
    <t>Average of AUDIT SCORE</t>
  </si>
  <si>
    <t>HOUSEKEEPING</t>
  </si>
  <si>
    <t xml:space="preserve">INSPECTION REGISTER NOT COMPLETED </t>
  </si>
  <si>
    <t>COMPLETE INSPECTION REGISTERS DURING AUDIT</t>
  </si>
  <si>
    <t>PAINT BRUSH WASHED IN OPEN AREA</t>
  </si>
  <si>
    <t>STAFF MEMBER WAS STOPPED - ESTABLISHED THAT PAINT BEING WASHED WAS WATER BASED - STAFF WAS REQUESTED TO USE DESIGNATED AREA TO CLEAN HAND TOOLS</t>
  </si>
  <si>
    <t>WALKWAY CLEARED OF EXCESS MATERIAL</t>
  </si>
  <si>
    <t>25/02/2025</t>
  </si>
  <si>
    <t>MAYVILLE</t>
  </si>
  <si>
    <t>SHEMCA</t>
  </si>
  <si>
    <t>BLANK FIRST AID CHECKLIST</t>
  </si>
  <si>
    <t>ENVIRONMENTAL</t>
  </si>
  <si>
    <t>CHECKLIST TO BE COMPLETED PRIOR TO WORKS STARTING</t>
  </si>
  <si>
    <t>NO ID'S FOR SHERRIF MASELANE &amp; MANDLA NDLOVU</t>
  </si>
  <si>
    <t>WORKING AT HEIGHTS NOT IN FILE</t>
  </si>
  <si>
    <t>TRAINING</t>
  </si>
  <si>
    <t>NO WORKING AT HEIGHTS REQUIRED ON SITE - NO DOCUMENTS ADDED TO FILE</t>
  </si>
  <si>
    <t>NAMES ON ID'S DIFFERENT TO APPOINTMENT NAMES - ID'S WAS PRESENT IN FILE</t>
  </si>
  <si>
    <t>CONSTRUCTION VEHICLE APPOINTMENT NOT COMPLETED</t>
  </si>
  <si>
    <t>NO CONSTRUCTION VEHICLES USED ON SITE - STAFF BUS INSPECTION AND DRIVERS LICENCE EMAILED TO SHEMCA</t>
  </si>
  <si>
    <t>27/02/2025</t>
  </si>
  <si>
    <t>NO FINDINGS</t>
  </si>
  <si>
    <t>NO ACTION</t>
  </si>
  <si>
    <t>25/03/2025</t>
  </si>
  <si>
    <t>THE REEDS</t>
  </si>
  <si>
    <t>APPOINTMENTS NEED TO BE DATED</t>
  </si>
  <si>
    <t>ALL APPOINTMENTS DATED AND PROOF FORWARDED TO PRIME OHS</t>
  </si>
  <si>
    <t>ORGANOGRAM NOT COMPLETED</t>
  </si>
  <si>
    <t>ORGANOGRAM UPDATED</t>
  </si>
  <si>
    <t>ADMINISTRATIVE</t>
  </si>
  <si>
    <t>NONE</t>
  </si>
  <si>
    <t>29/04/2025</t>
  </si>
  <si>
    <t>ACCESS HANDRAIL TO ADHERE TO HSE STANDARDS</t>
  </si>
  <si>
    <t>SITE ACCESS</t>
  </si>
  <si>
    <t>WARNING SIGNS AND BARICADES INSTALLED FOR OVERHEAD WORKS</t>
  </si>
  <si>
    <t>30/04/2025</t>
  </si>
  <si>
    <t>24 HOUR</t>
  </si>
  <si>
    <t>SCAFFOLD INSTALLATION NOT TO SANS10085</t>
  </si>
  <si>
    <t>FORMWORK/SCAFFOLDING</t>
  </si>
  <si>
    <t>INSTALL TOE BOARS, SIGNAGE AND REMOVE RUBBLE UNDERNEATH SCAFFOLDING</t>
  </si>
  <si>
    <t>25/04/2025</t>
  </si>
  <si>
    <t>EDENGLEN</t>
  </si>
  <si>
    <t>ENSURE ALL STAFF ARE TRAINED ON MSDS</t>
  </si>
  <si>
    <t>TOOLBOX TALK ON MSDS WAS HELD AND SIGNED BY ALL STAFF IN ATTENDANCE</t>
  </si>
  <si>
    <t>08/05/2025</t>
  </si>
  <si>
    <t>NO PROOF OF LEGAL LIABILITY AVAILABLE IN FILE</t>
  </si>
  <si>
    <t>PROOF OF COMPETENCY PRINTED AND ADDED TO FILE</t>
  </si>
  <si>
    <t>01/05/2025</t>
  </si>
  <si>
    <t>WINELANDS</t>
  </si>
  <si>
    <t>PUBLIC LIABILITY IN FILE EXPIRED</t>
  </si>
  <si>
    <t>PRINTED NEW PUBLIC LIABILITY AND ADDED TO SAFETY FILE</t>
  </si>
  <si>
    <t>LIFE SAVING RULES TO BE SIGNED BY ALL STAFF</t>
  </si>
  <si>
    <t>COPY OF LSR RULES WAS AGAIN EXPLAINED AND SIGNED BY ALL STAFF MEMBERS ON SITE. PROOF FORWARDED TO AUDITOR</t>
  </si>
  <si>
    <t>FIRST AIDER MUST SIGN TO ACCEPT APPOINTMENT</t>
  </si>
  <si>
    <t>APPOINTMENT SIGNED BY</t>
  </si>
  <si>
    <t>EXTENSION CORD MUST BE KEPT IN GOOD CONDITION - PROOF OF WORN OUT EXTENSION CORD PLUG</t>
  </si>
  <si>
    <t>POWER TOOLS</t>
  </si>
  <si>
    <t>PLUG WAS REPLACED - EXTENSION CORD CHECKED AND IN GOOD WORKING ORDER</t>
  </si>
  <si>
    <t>SIYABUSWA</t>
  </si>
  <si>
    <t>STAFF TRAINED ON MSDS PRIOR TO WORKS COMMENCE ON SITE</t>
  </si>
  <si>
    <t>VIRGO SHOPFITTING</t>
  </si>
  <si>
    <t>PROFESSOR</t>
  </si>
  <si>
    <t>SHERRIF</t>
  </si>
  <si>
    <t>PRIME OHS</t>
  </si>
  <si>
    <t>VIRGO WW/SF</t>
  </si>
  <si>
    <t>RONNIE</t>
  </si>
  <si>
    <t>BLONDY</t>
  </si>
  <si>
    <t>CAFÉ 365</t>
  </si>
  <si>
    <t>CAIPHUS</t>
  </si>
  <si>
    <t>DUMISANI</t>
  </si>
  <si>
    <t>VIRGO WETWORKS</t>
  </si>
  <si>
    <t>JOHANNES</t>
  </si>
  <si>
    <t>PATRICK</t>
  </si>
  <si>
    <t>24 HOUR SAFETY</t>
  </si>
  <si>
    <t xml:space="preserve">THE REEDS </t>
  </si>
  <si>
    <t>WINELANDS SOUTH</t>
  </si>
  <si>
    <t>LORENZ</t>
  </si>
  <si>
    <t>DANIEL</t>
  </si>
  <si>
    <t>SCOPE OF WORKS</t>
  </si>
  <si>
    <t>SITE MANAGER</t>
  </si>
  <si>
    <t>SITE SUPERVISOR</t>
  </si>
  <si>
    <t>HSEQ CONSULTANT</t>
  </si>
  <si>
    <t xml:space="preserve">AUDIT # </t>
  </si>
  <si>
    <t>RESULT</t>
  </si>
  <si>
    <t>Average of TARGET</t>
  </si>
  <si>
    <t>Count of Column1</t>
  </si>
  <si>
    <t>#</t>
  </si>
  <si>
    <t>Count of #</t>
  </si>
  <si>
    <t xml:space="preserve">Count of AUDIT # </t>
  </si>
  <si>
    <t>Month</t>
  </si>
  <si>
    <t xml:space="preserve">Safe work hours </t>
  </si>
  <si>
    <t>Incident reported</t>
  </si>
  <si>
    <t xml:space="preserve">Near misses </t>
  </si>
  <si>
    <t xml:space="preserve">January </t>
  </si>
  <si>
    <t>Anthia Coetzee</t>
  </si>
  <si>
    <t>none</t>
  </si>
  <si>
    <t>Complete</t>
  </si>
  <si>
    <t xml:space="preserve">February </t>
  </si>
  <si>
    <t>March</t>
  </si>
  <si>
    <t>April</t>
  </si>
  <si>
    <t xml:space="preserve">Sum of Safe work hours </t>
  </si>
  <si>
    <t xml:space="preserve">Sum of Near misses </t>
  </si>
  <si>
    <t>Sum of Incident reported</t>
  </si>
  <si>
    <t>Caiphus Sithuga</t>
  </si>
  <si>
    <t>Site Manager</t>
  </si>
  <si>
    <t>Demolition for supervisor</t>
  </si>
  <si>
    <t>24/01/2025</t>
  </si>
  <si>
    <t>24/01/2027</t>
  </si>
  <si>
    <t>TDK</t>
  </si>
  <si>
    <t>Danger Mawalela</t>
  </si>
  <si>
    <t>Supervisor</t>
  </si>
  <si>
    <t>Dumisani Masango</t>
  </si>
  <si>
    <t>Gibbs Masete</t>
  </si>
  <si>
    <t>Johannes Masilela</t>
  </si>
  <si>
    <t>Ronnie Mabuza</t>
  </si>
  <si>
    <t>Zama Ngidi</t>
  </si>
  <si>
    <t>Emergency Evacuation</t>
  </si>
  <si>
    <t>25/04/2027</t>
  </si>
  <si>
    <t>Aaron Maselane</t>
  </si>
  <si>
    <t>Shopfitter</t>
  </si>
  <si>
    <t>Blondy Malepe</t>
  </si>
  <si>
    <t>Daniel Mclaglin</t>
  </si>
  <si>
    <t>Herman Ngidi</t>
  </si>
  <si>
    <t>General Labour</t>
  </si>
  <si>
    <t>Ian Moore</t>
  </si>
  <si>
    <t>Director</t>
  </si>
  <si>
    <t>Norman Mphotu</t>
  </si>
  <si>
    <t>Sfiso Mahlangu</t>
  </si>
  <si>
    <t>Xolani Msweni</t>
  </si>
  <si>
    <t>27/01/2025</t>
  </si>
  <si>
    <t>Lorenz Terblance</t>
  </si>
  <si>
    <t>Patrick Masilela</t>
  </si>
  <si>
    <t>First Aid Level 1</t>
  </si>
  <si>
    <t>28/04/2025</t>
  </si>
  <si>
    <t>29/04/2028</t>
  </si>
  <si>
    <t>Johannes Mthombeni</t>
  </si>
  <si>
    <t>Supervisor - Builders</t>
  </si>
  <si>
    <t>Ndikho Sokhudela</t>
  </si>
  <si>
    <t>Oupa Mphotu</t>
  </si>
  <si>
    <t>Painter</t>
  </si>
  <si>
    <t>Plasterer</t>
  </si>
  <si>
    <t>Sipho Skosana</t>
  </si>
  <si>
    <t>Supervisor - Tiling</t>
  </si>
  <si>
    <t>Zaide Hendricks</t>
  </si>
  <si>
    <t>Workshop Manager</t>
  </si>
  <si>
    <t>Siphiwe Mashiteng</t>
  </si>
  <si>
    <t>Scaffold Erecter</t>
  </si>
  <si>
    <t>30/04/2027</t>
  </si>
  <si>
    <t>Supervisor - Painters</t>
  </si>
  <si>
    <t>Supervisor - Labourers</t>
  </si>
  <si>
    <t>Supervisor - Shopfitters</t>
  </si>
  <si>
    <t>Jack Moichelo</t>
  </si>
  <si>
    <t>Builder</t>
  </si>
  <si>
    <t>Maeca Mahlangu</t>
  </si>
  <si>
    <t>Purchwell February</t>
  </si>
  <si>
    <t>Scaffold Inspector</t>
  </si>
  <si>
    <t>Excavation for supervisor</t>
  </si>
  <si>
    <t>09/05/2025</t>
  </si>
  <si>
    <t>09/05/2027</t>
  </si>
  <si>
    <t>Supervisor - Maintenance</t>
  </si>
  <si>
    <t>TBA</t>
  </si>
  <si>
    <t>Construction regulation</t>
  </si>
  <si>
    <t>13/05/2025</t>
  </si>
  <si>
    <t>Legal Liability</t>
  </si>
  <si>
    <t>13/05/2027</t>
  </si>
  <si>
    <t>12/05/2025</t>
  </si>
  <si>
    <t>12/05/2027</t>
  </si>
  <si>
    <t>2025 - Training comlpleted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</si>
</sst>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w Cen MT"/>
      <family val="2"/>
      <scheme val="minor"/>
    </font>
    <font>
      <b/>
      <sz val="11"/>
      <name val="Calibri"/>
      <family val="2"/>
    </font>
    <font>
      <b/>
      <sz val="11"/>
      <color theme="0"/>
      <name val="Tw Cen MT"/>
      <family val="2"/>
      <scheme val="minor"/>
    </font>
    <font>
      <sz val="8"/>
      <name val="Tw Cen MT"/>
      <family val="2"/>
      <scheme val="minor"/>
    </font>
  </fonts>
  <fills count="6">
    <fill>
      <patternFill patternType="none"/>
    </fill>
    <fill>
      <patternFill patternType="gray125"/>
    </fill>
    <fill>
      <patternFill patternType="solid">
        <fgColor rgb="FF00B050"/>
        <bgColor indexed="64"/>
      </patternFill>
    </fill>
    <fill>
      <patternFill patternType="solid">
        <fgColor theme="5" tint="0.79998168889431442"/>
        <bgColor theme="5" tint="0.79998168889431442"/>
      </patternFill>
    </fill>
    <fill>
      <patternFill patternType="solid">
        <fgColor theme="5"/>
        <bgColor theme="5"/>
      </patternFill>
    </fill>
    <fill>
      <patternFill patternType="solid">
        <fgColor theme="0" tint="-0.14996795556505021"/>
        <bgColor indexed="64"/>
      </patternFill>
    </fill>
  </fills>
  <borders count="9">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s>
  <cellStyleXfs count="1">
    <xf numFmtId="0" fontId="0" fillId="0" borderId="0"/>
  </cellStyleXfs>
  <cellXfs count="30">
    <xf numFmtId="0" fontId="0" fillId="0" borderId="0" xfId="0"/>
    <xf numFmtId="0" fontId="1" fillId="0" borderId="0" xfId="0" applyFont="1"/>
    <xf numFmtId="9" fontId="0" fillId="0" borderId="0" xfId="0" applyNumberFormat="1"/>
    <xf numFmtId="0" fontId="1" fillId="0" borderId="0" xfId="0" applyFont="1" applyAlignment="1">
      <alignment wrapText="1"/>
    </xf>
    <xf numFmtId="0" fontId="0" fillId="0" borderId="0" xfId="0" applyAlignment="1">
      <alignment wrapText="1"/>
    </xf>
    <xf numFmtId="0" fontId="0" fillId="0" borderId="0" xfId="0" pivotButton="1"/>
    <xf numFmtId="0" fontId="0" fillId="0" borderId="0" xfId="0" applyAlignment="1">
      <alignment horizontal="left"/>
    </xf>
    <xf numFmtId="9" fontId="1" fillId="0" borderId="0" xfId="0" applyNumberFormat="1" applyFont="1" applyAlignment="1">
      <alignment wrapText="1"/>
    </xf>
    <xf numFmtId="9" fontId="0" fillId="2" borderId="0" xfId="0" applyNumberFormat="1" applyFill="1" applyAlignment="1">
      <alignment wrapText="1"/>
    </xf>
    <xf numFmtId="9" fontId="0" fillId="0" borderId="0" xfId="0" applyNumberFormat="1" applyAlignment="1">
      <alignment wrapText="1"/>
    </xf>
    <xf numFmtId="16" fontId="0" fillId="0" borderId="0" xfId="0" applyNumberFormat="1" applyAlignment="1">
      <alignment wrapText="1"/>
    </xf>
    <xf numFmtId="14" fontId="0" fillId="3" borderId="1" xfId="0" applyNumberFormat="1" applyFill="1" applyBorder="1"/>
    <xf numFmtId="0" fontId="0" fillId="3" borderId="2" xfId="0" applyFill="1" applyBorder="1"/>
    <xf numFmtId="9" fontId="0" fillId="3" borderId="2" xfId="0" applyNumberFormat="1" applyFill="1" applyBorder="1"/>
    <xf numFmtId="9" fontId="0" fillId="3" borderId="3" xfId="0" applyNumberFormat="1" applyFill="1" applyBorder="1"/>
    <xf numFmtId="14" fontId="0" fillId="0" borderId="1" xfId="0" applyNumberFormat="1" applyBorder="1"/>
    <xf numFmtId="0" fontId="0" fillId="0" borderId="2" xfId="0" applyBorder="1"/>
    <xf numFmtId="9" fontId="0" fillId="0" borderId="2" xfId="0" applyNumberFormat="1" applyBorder="1"/>
    <xf numFmtId="9" fontId="0" fillId="0" borderId="3" xfId="0" applyNumberFormat="1" applyBorder="1"/>
    <xf numFmtId="0" fontId="2" fillId="4" borderId="1" xfId="0" applyFont="1" applyFill="1" applyBorder="1" applyAlignment="1">
      <alignment wrapText="1"/>
    </xf>
    <xf numFmtId="0" fontId="2" fillId="4" borderId="2" xfId="0" applyFont="1" applyFill="1" applyBorder="1" applyAlignment="1">
      <alignment wrapText="1"/>
    </xf>
    <xf numFmtId="9" fontId="2" fillId="4" borderId="2" xfId="0" applyNumberFormat="1" applyFont="1" applyFill="1" applyBorder="1" applyAlignment="1">
      <alignment wrapText="1"/>
    </xf>
    <xf numFmtId="9" fontId="2" fillId="4" borderId="3" xfId="0" applyNumberFormat="1" applyFont="1" applyFill="1" applyBorder="1" applyAlignment="1">
      <alignment wrapText="1"/>
    </xf>
    <xf numFmtId="0" fontId="0" fillId="5" borderId="4" xfId="0" applyFill="1" applyBorder="1"/>
    <xf numFmtId="0" fontId="0" fillId="5" borderId="5" xfId="0" applyFill="1" applyBorder="1"/>
    <xf numFmtId="0" fontId="0" fillId="5" borderId="6" xfId="0" applyFill="1" applyBorder="1"/>
    <xf numFmtId="0" fontId="0" fillId="5" borderId="7" xfId="0" applyFill="1" applyBorder="1"/>
    <xf numFmtId="0" fontId="0" fillId="5" borderId="0" xfId="0" applyFill="1" applyBorder="1"/>
    <xf numFmtId="0" fontId="0" fillId="5" borderId="8" xfId="0" applyFill="1" applyBorder="1"/>
    <xf numFmtId="0" fontId="0" fillId="0" borderId="0" xfId="0" applyNumberFormat="1"/>
  </cellXfs>
  <cellStyles count="1">
    <cellStyle name="Normal" xfId="0" builtinId="0"/>
  </cellStyles>
  <dxfs count="3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dxf>
    <dxf>
      <numFmt numFmtId="13"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colors>
    <mruColors>
      <color rgb="FFF5A017"/>
      <color rgb="FFFFCC66"/>
      <color rgb="FFFFCC00"/>
      <color rgb="FF66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[HSEQ_Performance_Monitoring_Tool.xlsx]Audit Average!PivotTable22</c:name>
    <c:fmtId val="5"/>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B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'Audit Average'!$B$3</c:f>
              <c:strCache>
                <c:ptCount val="1"/>
                <c:pt idx="0">
                  <c:v>Average of AUDIT SCORE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'Audit Average'!$A$4:$A$10</c:f>
              <c:strCache>
                <c:ptCount val="6"/>
                <c:pt idx="0">
                  <c:v>EDENGLEN</c:v>
                </c:pt>
                <c:pt idx="1">
                  <c:v>MAYVILLE</c:v>
                </c:pt>
                <c:pt idx="2">
                  <c:v>ROSHNEE</c:v>
                </c:pt>
                <c:pt idx="3">
                  <c:v>SIYABUSWA</c:v>
                </c:pt>
                <c:pt idx="4">
                  <c:v>THE REEDS</c:v>
                </c:pt>
                <c:pt idx="5">
                  <c:v>WINELANDS</c:v>
                </c:pt>
              </c:strCache>
            </c:strRef>
          </c:cat>
          <c:val>
            <c:numRef>
              <c:f>'Audit Average'!$B$4:$B$10</c:f>
              <c:numCache>
                <c:formatCode>0%</c:formatCode>
                <c:ptCount val="6"/>
                <c:pt idx="0">
                  <c:v>0.98</c:v>
                </c:pt>
                <c:pt idx="1">
                  <c:v>0.94400000000000017</c:v>
                </c:pt>
                <c:pt idx="2">
                  <c:v>0.98</c:v>
                </c:pt>
                <c:pt idx="3">
                  <c:v>0.99</c:v>
                </c:pt>
                <c:pt idx="4">
                  <c:v>0.97764999999999991</c:v>
                </c:pt>
                <c:pt idx="5">
                  <c:v>0.96</c:v>
                </c:pt>
              </c:numCache>
            </c:numRef>
          </c:val>
          <c:extLst>
            <c:ext xmlns:c16="http://schemas.microsoft.com/office/drawing/2014/chart" uri="{C3380CC4-5D6E-409C-BE32-E72D297353CC}">
              <c16:uniqueId val="{00000003-5C1A-4A67-8EB4-AB822A0067F1}"/>
            </c:ext>
          </c:extLst>
        </c:ser>
        <c:ser>
          <c:idx val="1"/>
          <c:order val="1"/>
          <c:tx>
            <c:strRef>
              <c:f>'Audit Average'!$C$3</c:f>
              <c:strCache>
                <c:ptCount val="1"/>
                <c:pt idx="0">
                  <c:v>Average of TARGET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FFB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'Audit Average'!$A$4:$A$10</c:f>
              <c:strCache>
                <c:ptCount val="6"/>
                <c:pt idx="0">
                  <c:v>EDENGLEN</c:v>
                </c:pt>
                <c:pt idx="1">
                  <c:v>MAYVILLE</c:v>
                </c:pt>
                <c:pt idx="2">
                  <c:v>ROSHNEE</c:v>
                </c:pt>
                <c:pt idx="3">
                  <c:v>SIYABUSWA</c:v>
                </c:pt>
                <c:pt idx="4">
                  <c:v>THE REEDS</c:v>
                </c:pt>
                <c:pt idx="5">
                  <c:v>WINELANDS</c:v>
                </c:pt>
              </c:strCache>
            </c:strRef>
          </c:cat>
          <c:val>
            <c:numRef>
              <c:f>'Audit Average'!$C$4:$C$10</c:f>
              <c:numCache>
                <c:formatCode>0%</c:formatCode>
                <c:ptCount val="6"/>
                <c:pt idx="0">
                  <c:v>0.95</c:v>
                </c:pt>
                <c:pt idx="1">
                  <c:v>0.95</c:v>
                </c:pt>
                <c:pt idx="2">
                  <c:v>0.94999999999999984</c:v>
                </c:pt>
                <c:pt idx="3">
                  <c:v>0.95</c:v>
                </c:pt>
                <c:pt idx="4">
                  <c:v>0.95</c:v>
                </c:pt>
                <c:pt idx="5">
                  <c:v>0.95</c:v>
                </c:pt>
              </c:numCache>
            </c:numRef>
          </c:val>
          <c:extLst>
            <c:ext xmlns:c16="http://schemas.microsoft.com/office/drawing/2014/chart" uri="{C3380CC4-5D6E-409C-BE32-E72D297353CC}">
              <c16:uniqueId val="{00000005-5C1A-4A67-8EB4-AB822A0067F1}"/>
            </c:ext>
          </c:extLst>
        </c:ser>
        <c:dLbls>
          <c:showLegendKey val="0"/>
          <c:showVal val="1"/>
          <c:showCatName val="0"/>
          <c:showSerName val="0"/>
          <c:showPercent val="0"/>
          <c:showBubbleSize val="0"/>
        </c:dLbls>
        <c:gapWidth val="84"/>
        <c:gapDepth val="53"/>
        <c:shape val="box"/>
        <c:axId val="671704944"/>
        <c:axId val="671708544"/>
        <c:axId val="0"/>
      </c:bar3DChart>
      <c:catAx>
        <c:axId val="6717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708544"/>
        <c:crosses val="autoZero"/>
        <c:auto val="1"/>
        <c:lblAlgn val="ctr"/>
        <c:lblOffset val="100"/>
        <c:noMultiLvlLbl val="0"/>
      </c:catAx>
      <c:valAx>
        <c:axId val="671708544"/>
        <c:scaling>
          <c:orientation val="minMax"/>
        </c:scaling>
        <c:delete val="1"/>
        <c:axPos val="l"/>
        <c:majorGridlines>
          <c:spPr>
            <a:ln w="9525">
              <a:solidFill>
                <a:schemeClr val="lt1">
                  <a:lumMod val="50000"/>
                </a:schemeClr>
              </a:solidFill>
            </a:ln>
            <a:effectLst/>
          </c:spPr>
        </c:majorGridlines>
        <c:numFmt formatCode="0%" sourceLinked="1"/>
        <c:majorTickMark val="out"/>
        <c:minorTickMark val="none"/>
        <c:tickLblPos val="nextTo"/>
        <c:crossAx val="67170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[HSEQ_Performance_Monitoring_Tool.xlsx]Audit Findings!PivotTable25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Audit non Conformance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1">
              <a:lumMod val="60000"/>
            </a:schemeClr>
          </a:solidFill>
          <a:ln w="19050">
            <a:solidFill>
              <a:schemeClr val="lt1"/>
            </a:solidFill>
          </a:ln>
          <a:effectLst/>
        </c:spPr>
      </c:pivotFmt>
      <c:pivotFmt>
        <c:idx val="18"/>
        <c:spPr>
          <a:solidFill>
            <a:schemeClr val="accent2">
              <a:lumMod val="60000"/>
            </a:schemeClr>
          </a:solidFill>
          <a:ln w="19050">
            <a:solidFill>
              <a:schemeClr val="lt1"/>
            </a:solidFill>
          </a:ln>
          <a:effectLst/>
        </c:spPr>
      </c:pivotFmt>
    </c:pivotFmts>
    <c:plotArea>
      <c:layout/>
      <c:pieChart>
        <c:varyColors val="1"/>
        <c:ser>
          <c:idx val="0"/>
          <c:order val="0"/>
          <c:tx>
            <c:strRef>
              <c:f>'Audit Findings'!$B$3</c:f>
              <c:strCache>
                <c:ptCount val="1"/>
                <c:pt idx="0">
                  <c:v>Total</c:v>
                </c:pt>
              </c:strCache>
            </c:strRef>
          </c:tx>
          <c:explosion val="1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E-4DE7-A702-A2C650E04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E-4DE7-A702-A2C650E04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E-4DE7-A702-A2C650E04F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BE-4DE7-A702-A2C650E04F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BE-4DE7-A702-A2C650E04F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BE-4DE7-A702-A2C650E04F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1BE-4DE7-A702-A2C650E04F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1BE-4DE7-A702-A2C650E04F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'Audit Findings'!$A$4:$A$12</c:f>
              <c:strCache>
                <c:ptCount val="8"/>
                <c:pt idx="0">
                  <c:v>ADMINISTRATIVE</c:v>
                </c:pt>
                <c:pt idx="1">
                  <c:v>ENVIRONMENTAL</c:v>
                </c:pt>
                <c:pt idx="2">
                  <c:v>FORMWORK/SCAFFOLDING</c:v>
                </c:pt>
                <c:pt idx="3">
                  <c:v>HOUSEKEEPING</c:v>
                </c:pt>
                <c:pt idx="4">
                  <c:v>NONE</c:v>
                </c:pt>
                <c:pt idx="5">
                  <c:v>POWER TOOLS</c:v>
                </c:pt>
                <c:pt idx="6">
                  <c:v>SITE ACCESS</c:v>
                </c:pt>
                <c:pt idx="7">
                  <c:v>TRAINING</c:v>
                </c:pt>
              </c:strCache>
            </c:strRef>
          </c:cat>
          <c:val>
            <c:numRef>
              <c:f>'Audit Findings'!$B$4:$B$12</c:f>
              <c:numCache>
                <c:formatCode>General</c:formatCode>
                <c:ptCount val="8"/>
                <c:pt idx="0">
                  <c:v>9</c:v>
                </c:pt>
                <c:pt idx="1">
                  <c:v>1</c:v>
                </c:pt>
                <c:pt idx="2">
                  <c:v>1</c:v>
                </c:pt>
                <c:pt idx="3">
                  <c:v>1</c:v>
                </c:pt>
                <c:pt idx="5">
                  <c:v>1</c:v>
                </c:pt>
                <c:pt idx="6">
                  <c:v>1</c:v>
                </c:pt>
                <c:pt idx="7">
                  <c:v>4</c:v>
                </c:pt>
              </c:numCache>
            </c:numRef>
          </c:val>
          <c:extLst>
            <c:ext xmlns:c16="http://schemas.microsoft.com/office/drawing/2014/chart" uri="{C3380CC4-5D6E-409C-BE32-E72D297353CC}">
              <c16:uniqueId val="{00000010-11BE-4DE7-A702-A2C650E04FD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49401849596545994"/>
          <c:y val="0.30316234692734467"/>
          <c:w val="0.49128379652972071"/>
          <c:h val="0.69683765307265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[HSEQ_Performance_Monitoring_Tool.xlsx]Audit numbers!PivotTable27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Total Non Conformance per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'Audit numbers'!$B$3</c:f>
              <c:strCache>
                <c:ptCount val="1"/>
                <c:pt idx="0">
                  <c:v>Total</c:v>
                </c:pt>
              </c:strCache>
            </c:strRef>
          </c:tx>
          <c:spPr>
            <a:solidFill>
              <a:schemeClr val="accent1"/>
            </a:solidFill>
            <a:ln>
              <a:noFill/>
            </a:ln>
            <a:effectLst/>
            <a:sp3d/>
          </c:spPr>
          <c:invertIfNegative val="0"/>
          <c:cat>
            <c:strRef>
              <c:f>'Audit numbers'!$A$4:$A$10</c:f>
              <c:strCache>
                <c:ptCount val="6"/>
                <c:pt idx="0">
                  <c:v>EDENGLEN</c:v>
                </c:pt>
                <c:pt idx="1">
                  <c:v>MAYVILLE</c:v>
                </c:pt>
                <c:pt idx="2">
                  <c:v>ROSHNEE</c:v>
                </c:pt>
                <c:pt idx="3">
                  <c:v>SIYABUSWA</c:v>
                </c:pt>
                <c:pt idx="4">
                  <c:v>THE REEDS</c:v>
                </c:pt>
                <c:pt idx="5">
                  <c:v>WINELANDS</c:v>
                </c:pt>
              </c:strCache>
            </c:strRef>
          </c:cat>
          <c:val>
            <c:numRef>
              <c:f>'Audit numbers'!$B$4:$B$10</c:f>
              <c:numCache>
                <c:formatCode>General</c:formatCode>
                <c:ptCount val="6"/>
                <c:pt idx="0">
                  <c:v>2</c:v>
                </c:pt>
                <c:pt idx="1">
                  <c:v>5</c:v>
                </c:pt>
                <c:pt idx="2">
                  <c:v>3</c:v>
                </c:pt>
                <c:pt idx="3">
                  <c:v>1</c:v>
                </c:pt>
                <c:pt idx="4">
                  <c:v>4</c:v>
                </c:pt>
                <c:pt idx="5">
                  <c:v>4</c:v>
                </c:pt>
              </c:numCache>
            </c:numRef>
          </c:val>
          <c:extLst>
            <c:ext xmlns:c16="http://schemas.microsoft.com/office/drawing/2014/chart" uri="{C3380CC4-5D6E-409C-BE32-E72D297353CC}">
              <c16:uniqueId val="{00000000-438E-4B31-BC6A-DFB0ABDE545D}"/>
            </c:ext>
          </c:extLst>
        </c:ser>
        <c:dLbls>
          <c:showLegendKey val="0"/>
          <c:showVal val="0"/>
          <c:showCatName val="0"/>
          <c:showSerName val="0"/>
          <c:showPercent val="0"/>
          <c:showBubbleSize val="0"/>
        </c:dLbls>
        <c:gapWidth val="150"/>
        <c:shape val="box"/>
        <c:axId val="1232036599"/>
        <c:axId val="1232036959"/>
        <c:axId val="0"/>
      </c:bar3DChart>
      <c:catAx>
        <c:axId val="1232036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036959"/>
        <c:crosses val="autoZero"/>
        <c:auto val="1"/>
        <c:lblAlgn val="ctr"/>
        <c:lblOffset val="100"/>
        <c:noMultiLvlLbl val="0"/>
      </c:catAx>
      <c:valAx>
        <c:axId val="123203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036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[HSEQ_Performance_Monitoring_Tool.xlsx]Safe Working Hours Data!PivotTable32</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'Safe Working Hours Data'!$B$3</c:f>
              <c:strCache>
                <c:ptCount val="1"/>
                <c:pt idx="0">
                  <c:v>Sum of Safe work hours </c:v>
                </c:pt>
              </c:strCache>
            </c:strRef>
          </c:tx>
          <c:spPr>
            <a:solidFill>
              <a:schemeClr val="accent1"/>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Data'!$B$4:$B$8</c:f>
              <c:numCache>
                <c:formatCode>General</c:formatCode>
                <c:ptCount val="4"/>
                <c:pt idx="0">
                  <c:v>13081</c:v>
                </c:pt>
                <c:pt idx="1">
                  <c:v>10200</c:v>
                </c:pt>
                <c:pt idx="2">
                  <c:v>12698</c:v>
                </c:pt>
                <c:pt idx="3">
                  <c:v>8400</c:v>
                </c:pt>
              </c:numCache>
            </c:numRef>
          </c:val>
          <c:extLst>
            <c:ext xmlns:c16="http://schemas.microsoft.com/office/drawing/2014/chart" uri="{C3380CC4-5D6E-409C-BE32-E72D297353CC}">
              <c16:uniqueId val="{00000000-9A90-4176-87DB-68650FF17C54}"/>
            </c:ext>
          </c:extLst>
        </c:ser>
        <c:ser>
          <c:idx val="1"/>
          <c:order val="1"/>
          <c:tx>
            <c:strRef>
              <c:f>'Safe Working Hours Data'!$C$3</c:f>
              <c:strCache>
                <c:ptCount val="1"/>
                <c:pt idx="0">
                  <c:v>Sum of Incident reported</c:v>
                </c:pt>
              </c:strCache>
            </c:strRef>
          </c:tx>
          <c:spPr>
            <a:solidFill>
              <a:schemeClr val="accent2"/>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Data'!$C$4:$C$8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9A90-4176-87DB-68650FF17C54}"/>
            </c:ext>
          </c:extLst>
        </c:ser>
        <c:ser>
          <c:idx val="2"/>
          <c:order val="2"/>
          <c:tx>
            <c:strRef>
              <c:f>'Safe Working Hours Data'!$D$3</c:f>
              <c:strCache>
                <c:ptCount val="1"/>
                <c:pt idx="0">
                  <c:v>Sum of Near misses </c:v>
                </c:pt>
              </c:strCache>
            </c:strRef>
          </c:tx>
          <c:spPr>
            <a:solidFill>
              <a:schemeClr val="accent3"/>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Data'!$D$4:$D$8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9A90-4176-87DB-68650FF17C54}"/>
            </c:ext>
          </c:extLst>
        </c:ser>
        <c:dLbls>
          <c:showLegendKey val="0"/>
          <c:showVal val="0"/>
          <c:showCatName val="0"/>
          <c:showSerName val="0"/>
          <c:showPercent val="0"/>
          <c:showBubbleSize val="0"/>
        </c:dLbls>
        <c:gapWidth val="150"/>
        <c:shape val="box"/>
        <c:axId val="45544767"/>
        <c:axId val="45545847"/>
        <c:axId val="1842543392"/>
      </c:bar3DChart>
      <c:catAx>
        <c:axId val="4554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5847"/>
        <c:crosses val="autoZero"/>
        <c:auto val="1"/>
        <c:lblAlgn val="ctr"/>
        <c:lblOffset val="100"/>
        <c:noMultiLvlLbl val="0"/>
      </c:catAx>
      <c:valAx>
        <c:axId val="45545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4767"/>
        <c:crosses val="autoZero"/>
        <c:crossBetween val="between"/>
      </c:valAx>
      <c:serAx>
        <c:axId val="18425433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5847"/>
        <c:crosses val="autoZero"/>
      </c:serAx>
      <c:spPr>
        <a:solidFill>
          <a:schemeClr val="tx1">
            <a:lumMod val="75000"/>
            <a:lumOff val="2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[HSEQ_Performance_Monitoring_Tool.xlsx]Totals training!PivotTable33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 completed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 training'!$B$3</c:f>
              <c:strCache>
                <c:ptCount val="1"/>
                <c:pt idx="0">
                  <c:v>Total</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'Totals training'!$A$4:$A$12</c:f>
              <c:strCache>
                <c:ptCount val="8"/>
                <c:pt idx="0">
                  <c:v>Construction regulation</c:v>
                </c:pt>
                <c:pt idx="1">
                  <c:v>Demolition for supervisor</c:v>
                </c:pt>
                <c:pt idx="2">
                  <c:v>Emergency Evacuation</c:v>
                </c:pt>
                <c:pt idx="3">
                  <c:v>Excavation for supervisor</c:v>
                </c:pt>
                <c:pt idx="4">
                  <c:v>First Aid Level 1</c:v>
                </c:pt>
                <c:pt idx="5">
                  <c:v>Legal Liability</c:v>
                </c:pt>
                <c:pt idx="6">
                  <c:v>Scaffold Erecter</c:v>
                </c:pt>
                <c:pt idx="7">
                  <c:v>Scaffold Inspector</c:v>
                </c:pt>
              </c:strCache>
            </c:strRef>
          </c:cat>
          <c:val>
            <c:numRef>
              <c:f>'Totals training'!$B$4:$B$12</c:f>
              <c:numCache>
                <c:formatCode>General</c:formatCode>
                <c:ptCount val="8"/>
                <c:pt idx="0">
                  <c:v>1</c:v>
                </c:pt>
                <c:pt idx="1">
                  <c:v>7</c:v>
                </c:pt>
                <c:pt idx="2">
                  <c:v>17</c:v>
                </c:pt>
                <c:pt idx="3">
                  <c:v>7</c:v>
                </c:pt>
                <c:pt idx="4">
                  <c:v>10</c:v>
                </c:pt>
                <c:pt idx="5">
                  <c:v>1</c:v>
                </c:pt>
                <c:pt idx="6">
                  <c:v>10</c:v>
                </c:pt>
                <c:pt idx="7">
                  <c:v>10</c:v>
                </c:pt>
              </c:numCache>
            </c:numRef>
          </c:val>
          <c:extLst>
            <c:ext xmlns:c16="http://schemas.microsoft.com/office/drawing/2014/chart" uri="{C3380CC4-5D6E-409C-BE32-E72D297353CC}">
              <c16:uniqueId val="{00000000-C641-45ED-8186-49615086C51B}"/>
            </c:ext>
          </c:extLst>
        </c:ser>
        <c:dLbls>
          <c:dLblPos val="outEnd"/>
          <c:showLegendKey val="0"/>
          <c:showVal val="1"/>
          <c:showCatName val="0"/>
          <c:showSerName val="0"/>
          <c:showPercent val="0"/>
          <c:showBubbleSize val="0"/>
        </c:dLbls>
        <c:gapWidth val="100"/>
        <c:overlap val="-24"/>
        <c:axId val="1171817103"/>
        <c:axId val="1171814223"/>
      </c:barChart>
      <c:catAx>
        <c:axId val="1171817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814223"/>
        <c:crosses val="autoZero"/>
        <c:auto val="1"/>
        <c:lblAlgn val="ctr"/>
        <c:lblOffset val="100"/>
        <c:noMultiLvlLbl val="0"/>
      </c:catAx>
      <c:valAx>
        <c:axId val="1171814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8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[HSEQ_Performance_Monitoring_Tool.xlsx]Safe Working Hours Data!PivotTable32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'Safe Working Hours Data'!$B$3</c:f>
              <c:strCache>
                <c:ptCount val="1"/>
                <c:pt idx="0">
                  <c:v>Sum of Safe work hours </c:v>
                </c:pt>
              </c:strCache>
            </c:strRef>
          </c:tx>
          <c:spPr>
            <a:solidFill>
              <a:schemeClr val="accent1"/>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Data'!$B$4:$B$8</c:f>
              <c:numCache>
                <c:formatCode>General</c:formatCode>
                <c:ptCount val="4"/>
                <c:pt idx="0">
                  <c:v>13081</c:v>
                </c:pt>
                <c:pt idx="1">
                  <c:v>10200</c:v>
                </c:pt>
                <c:pt idx="2">
                  <c:v>12698</c:v>
                </c:pt>
                <c:pt idx="3">
                  <c:v>8400</c:v>
                </c:pt>
              </c:numCache>
            </c:numRef>
          </c:val>
          <c:extLst>
            <c:ext xmlns:c16="http://schemas.microsoft.com/office/drawing/2014/chart" uri="{C3380CC4-5D6E-409C-BE32-E72D297353CC}">
              <c16:uniqueId val="{00000000-892F-4843-8D4E-FD15267D3272}"/>
            </c:ext>
          </c:extLst>
        </c:ser>
        <c:ser>
          <c:idx val="1"/>
          <c:order val="1"/>
          <c:tx>
            <c:strRef>
              <c:f>'Safe Working Hours Data'!$C$3</c:f>
              <c:strCache>
                <c:ptCount val="1"/>
                <c:pt idx="0">
                  <c:v>Sum of Incident reported</c:v>
                </c:pt>
              </c:strCache>
            </c:strRef>
          </c:tx>
          <c:spPr>
            <a:solidFill>
              <a:schemeClr val="accent2"/>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Data'!$C$4:$C$8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892F-4843-8D4E-FD15267D3272}"/>
            </c:ext>
          </c:extLst>
        </c:ser>
        <c:ser>
          <c:idx val="2"/>
          <c:order val="2"/>
          <c:tx>
            <c:strRef>
              <c:f>'Safe Working Hours Data'!$D$3</c:f>
              <c:strCache>
                <c:ptCount val="1"/>
                <c:pt idx="0">
                  <c:v>Sum of Near misses </c:v>
                </c:pt>
              </c:strCache>
            </c:strRef>
          </c:tx>
          <c:spPr>
            <a:solidFill>
              <a:schemeClr val="accent3"/>
            </a:solidFill>
            <a:ln>
              <a:noFill/>
            </a:ln>
            <a:effectLst/>
            <a:sp3d/>
          </c:spPr>
          <c:invertIfNegative val="0"/>
          <c:cat>
            <c:strRef>
              <c:f>'Safe Working Hours Data'!$A$4:$A$8</c:f>
              <c:strCache>
                <c:ptCount val="4"/>
                <c:pt idx="0">
                  <c:v>March</c:v>
                </c:pt>
                <c:pt idx="1">
                  <c:v>April</c:v>
                </c:pt>
                <c:pt idx="2">
                  <c:v>February </c:v>
                </c:pt>
                <c:pt idx="3">
                  <c:v>January </c:v>
                </c:pt>
              </c:strCache>
            </c:strRef>
          </c:cat>
          <c:val>
            <c:numRef>
              <c:f>'Safe Working Hours Data'!$D$4:$D$8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892F-4843-8D4E-FD15267D3272}"/>
            </c:ext>
          </c:extLst>
        </c:ser>
        <c:dLbls>
          <c:showLegendKey val="0"/>
          <c:showVal val="0"/>
          <c:showCatName val="0"/>
          <c:showSerName val="0"/>
          <c:showPercent val="0"/>
          <c:showBubbleSize val="0"/>
        </c:dLbls>
        <c:gapWidth val="150"/>
        <c:shape val="box"/>
        <c:axId val="45544767"/>
        <c:axId val="45545847"/>
        <c:axId val="1842543392"/>
      </c:bar3DChart>
      <c:catAx>
        <c:axId val="4554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5847"/>
        <c:crosses val="autoZero"/>
        <c:auto val="1"/>
        <c:lblAlgn val="ctr"/>
        <c:lblOffset val="100"/>
        <c:noMultiLvlLbl val="0"/>
      </c:catAx>
      <c:valAx>
        <c:axId val="45545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4767"/>
        <c:crosses val="autoZero"/>
        <c:crossBetween val="between"/>
      </c:valAx>
      <c:serAx>
        <c:axId val="18425433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458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[HSEQ_Performance_Monitoring_Tool.xlsx]Audit Findings!PivotTable25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'Audit Findings'!$B$3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'Audit Findings'!$A$4:$A$12</c:f>
              <c:strCache>
                <c:ptCount val="8"/>
                <c:pt idx="0">
                  <c:v>ADMINISTRATIVE</c:v>
                </c:pt>
                <c:pt idx="1">
                  <c:v>ENVIRONMENTAL</c:v>
                </c:pt>
                <c:pt idx="2">
                  <c:v>FORMWORK/SCAFFOLDING</c:v>
                </c:pt>
                <c:pt idx="3">
                  <c:v>HOUSEKEEPING</c:v>
                </c:pt>
                <c:pt idx="4">
                  <c:v>NONE</c:v>
                </c:pt>
                <c:pt idx="5">
                  <c:v>POWER TOOLS</c:v>
                </c:pt>
                <c:pt idx="6">
                  <c:v>SITE ACCESS</c:v>
                </c:pt>
                <c:pt idx="7">
                  <c:v>TRAINING</c:v>
                </c:pt>
              </c:strCache>
            </c:strRef>
          </c:cat>
          <c:val>
            <c:numRef>
              <c:f>'Audit Findings'!$B$4:$B$12</c:f>
              <c:numCache>
                <c:formatCode>General</c:formatCode>
                <c:ptCount val="8"/>
                <c:pt idx="0">
                  <c:v>9</c:v>
                </c:pt>
                <c:pt idx="1">
                  <c:v>1</c:v>
                </c:pt>
                <c:pt idx="2">
                  <c:v>1</c:v>
                </c:pt>
                <c:pt idx="3">
                  <c:v>1</c:v>
                </c:pt>
                <c:pt idx="5">
                  <c:v>1</c:v>
                </c:pt>
                <c:pt idx="6">
                  <c:v>1</c:v>
                </c:pt>
                <c:pt idx="7">
                  <c:v>4</c:v>
                </c:pt>
              </c:numCache>
            </c:numRef>
          </c:val>
          <c:extLst>
            <c:ext xmlns:c16="http://schemas.microsoft.com/office/drawing/2014/chart" uri="{C3380CC4-5D6E-409C-BE32-E72D297353CC}">
              <c16:uniqueId val="{00000000-C68A-4600-8E53-67393CD6CC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[HSEQ_Performance_Monitoring_Tool.xlsx]Audit numbers!PivotTable27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'Audit numbers'!$B$3</c:f>
              <c:strCache>
                <c:ptCount val="1"/>
                <c:pt idx="0">
                  <c:v>Total</c:v>
                </c:pt>
              </c:strCache>
            </c:strRef>
          </c:tx>
          <c:spPr>
            <a:solidFill>
              <a:schemeClr val="accent1"/>
            </a:solidFill>
            <a:ln>
              <a:noFill/>
            </a:ln>
            <a:effectLst/>
            <a:sp3d/>
          </c:spPr>
          <c:invertIfNegative val="0"/>
          <c:cat>
            <c:strRef>
              <c:f>'Audit numbers'!$A$4:$A$10</c:f>
              <c:strCache>
                <c:ptCount val="6"/>
                <c:pt idx="0">
                  <c:v>EDENGLEN</c:v>
                </c:pt>
                <c:pt idx="1">
                  <c:v>MAYVILLE</c:v>
                </c:pt>
                <c:pt idx="2">
                  <c:v>ROSHNEE</c:v>
                </c:pt>
                <c:pt idx="3">
                  <c:v>SIYABUSWA</c:v>
                </c:pt>
                <c:pt idx="4">
                  <c:v>THE REEDS</c:v>
                </c:pt>
                <c:pt idx="5">
                  <c:v>WINELANDS</c:v>
                </c:pt>
              </c:strCache>
            </c:strRef>
          </c:cat>
          <c:val>
            <c:numRef>
              <c:f>'Audit numbers'!$B$4:$B$10</c:f>
              <c:numCache>
                <c:formatCode>General</c:formatCode>
                <c:ptCount val="6"/>
                <c:pt idx="0">
                  <c:v>2</c:v>
                </c:pt>
                <c:pt idx="1">
                  <c:v>5</c:v>
                </c:pt>
                <c:pt idx="2">
                  <c:v>3</c:v>
                </c:pt>
                <c:pt idx="3">
                  <c:v>1</c:v>
                </c:pt>
                <c:pt idx="4">
                  <c:v>4</c:v>
                </c:pt>
                <c:pt idx="5">
                  <c:v>4</c:v>
                </c:pt>
              </c:numCache>
            </c:numRef>
          </c:val>
          <c:extLst>
            <c:ext xmlns:c16="http://schemas.microsoft.com/office/drawing/2014/chart" uri="{C3380CC4-5D6E-409C-BE32-E72D297353CC}">
              <c16:uniqueId val="{00000000-911B-4B66-9DF8-FEA178820ADD}"/>
            </c:ext>
          </c:extLst>
        </c:ser>
        <c:dLbls>
          <c:showLegendKey val="0"/>
          <c:showVal val="0"/>
          <c:showCatName val="0"/>
          <c:showSerName val="0"/>
          <c:showPercent val="0"/>
          <c:showBubbleSize val="0"/>
        </c:dLbls>
        <c:gapWidth val="150"/>
        <c:shape val="box"/>
        <c:axId val="1232036599"/>
        <c:axId val="1232036959"/>
        <c:axId val="0"/>
      </c:bar3DChart>
      <c:catAx>
        <c:axId val="1232036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36959"/>
        <c:crosses val="autoZero"/>
        <c:auto val="1"/>
        <c:lblAlgn val="ctr"/>
        <c:lblOffset val="100"/>
        <c:noMultiLvlLbl val="0"/>
      </c:catAx>
      <c:valAx>
        <c:axId val="123203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36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[HSEQ_Performance_Monitoring_Tool.xlsx]Totals training!PivotTable33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 completed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 training'!$B$3</c:f>
              <c:strCache>
                <c:ptCount val="1"/>
                <c:pt idx="0">
                  <c:v>Total</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'Totals training'!$A$4:$A$12</c:f>
              <c:strCache>
                <c:ptCount val="8"/>
                <c:pt idx="0">
                  <c:v>Construction regulation</c:v>
                </c:pt>
                <c:pt idx="1">
                  <c:v>Demolition for supervisor</c:v>
                </c:pt>
                <c:pt idx="2">
                  <c:v>Emergency Evacuation</c:v>
                </c:pt>
                <c:pt idx="3">
                  <c:v>Excavation for supervisor</c:v>
                </c:pt>
                <c:pt idx="4">
                  <c:v>First Aid Level 1</c:v>
                </c:pt>
                <c:pt idx="5">
                  <c:v>Legal Liability</c:v>
                </c:pt>
                <c:pt idx="6">
                  <c:v>Scaffold Erecter</c:v>
                </c:pt>
                <c:pt idx="7">
                  <c:v>Scaffold Inspector</c:v>
                </c:pt>
              </c:strCache>
            </c:strRef>
          </c:cat>
          <c:val>
            <c:numRef>
              <c:f>'Totals training'!$B$4:$B$12</c:f>
              <c:numCache>
                <c:formatCode>General</c:formatCode>
                <c:ptCount val="8"/>
                <c:pt idx="0">
                  <c:v>1</c:v>
                </c:pt>
                <c:pt idx="1">
                  <c:v>7</c:v>
                </c:pt>
                <c:pt idx="2">
                  <c:v>17</c:v>
                </c:pt>
                <c:pt idx="3">
                  <c:v>7</c:v>
                </c:pt>
                <c:pt idx="4">
                  <c:v>10</c:v>
                </c:pt>
                <c:pt idx="5">
                  <c:v>1</c:v>
                </c:pt>
                <c:pt idx="6">
                  <c:v>10</c:v>
                </c:pt>
                <c:pt idx="7">
                  <c:v>10</c:v>
                </c:pt>
              </c:numCache>
            </c:numRef>
          </c:val>
          <c:extLst>
            <c:ext xmlns:c16="http://schemas.microsoft.com/office/drawing/2014/chart" uri="{C3380CC4-5D6E-409C-BE32-E72D297353CC}">
              <c16:uniqueId val="{00000000-D1C8-4F35-8A4F-BA1E4743F1C5}"/>
            </c:ext>
          </c:extLst>
        </c:ser>
        <c:dLbls>
          <c:dLblPos val="outEnd"/>
          <c:showLegendKey val="0"/>
          <c:showVal val="1"/>
          <c:showCatName val="0"/>
          <c:showSerName val="0"/>
          <c:showPercent val="0"/>
          <c:showBubbleSize val="0"/>
        </c:dLbls>
        <c:gapWidth val="100"/>
        <c:overlap val="-24"/>
        <c:axId val="1171817103"/>
        <c:axId val="1171814223"/>
      </c:barChart>
      <c:catAx>
        <c:axId val="1171817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814223"/>
        <c:crosses val="autoZero"/>
        <c:auto val="1"/>
        <c:lblAlgn val="ctr"/>
        <c:lblOffset val="100"/>
        <c:noMultiLvlLbl val="0"/>
      </c:catAx>
      <c:valAx>
        <c:axId val="1171814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8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138632</xdr:colOff>
      <xdr:row>0</xdr:row>
      <xdr:rowOff>7619</xdr:rowOff>
    </xdr:from>
    <xdr:to>
      <xdr:col>24</xdr:col>
      <xdr:colOff>0</xdr:colOff>
      <xdr:row>38</xdr:row>
      <xdr:rowOff>76199</xdr:rowOff>
    </xdr:to>
    <xdr:sp macro="" textlink="">
      <xdr:nvSpPr>
        <xdr:cNvPr id="4" name="Rectangle 3">
          <a:extLst>
            <a:ext uri="{FF2B5EF4-FFF2-40B4-BE49-F238E27FC236}">
              <a16:creationId xmlns:a16="http://schemas.microsoft.com/office/drawing/2014/main" id="{4656A829-2FB2-21DD-2944-1846810BB3A6}"/>
            </a:ext>
          </a:extLst>
        </xdr:cNvPr>
        <xdr:cNvSpPr/>
      </xdr:nvSpPr>
      <xdr:spPr>
        <a:xfrm>
          <a:off x="138632" y="7619"/>
          <a:ext cx="16059311" cy="6687094"/>
        </a:xfrm>
        <a:prstGeom prst="rect">
          <a:avLst/>
        </a:prstGeom>
        <a:gradFill>
          <a:gsLst>
            <a:gs pos="62000">
              <a:schemeClr val="accent5">
                <a:tint val="94000"/>
                <a:satMod val="105000"/>
                <a:lumMod val="102000"/>
              </a:schemeClr>
            </a:gs>
            <a:gs pos="100000">
              <a:schemeClr val="accent5">
                <a:shade val="74000"/>
                <a:satMod val="128000"/>
                <a:lumMod val="100000"/>
              </a:schemeClr>
            </a:gs>
          </a:gsLst>
        </a:gra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20</xdr:col>
      <xdr:colOff>594632</xdr:colOff>
      <xdr:row>30</xdr:row>
      <xdr:rowOff>100713</xdr:rowOff>
    </xdr:from>
    <xdr:to>
      <xdr:col>24</xdr:col>
      <xdr:colOff>0</xdr:colOff>
      <xdr:row>37</xdr:row>
      <xdr:rowOff>160404</xdr:rowOff>
    </xdr:to>
    <xdr:pic>
      <xdr:nvPicPr>
        <xdr:cNvPr id="5" name="Picture 4">
          <a:extLst>
            <a:ext uri="{FF2B5EF4-FFF2-40B4-BE49-F238E27FC236}">
              <a16:creationId xmlns:a16="http://schemas.microsoft.com/office/drawing/2014/main" id="{7C44C2E5-4127-D858-CB84-6D872EE43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2918" y="5325856"/>
          <a:ext cx="2105025" cy="1278891"/>
        </a:xfrm>
        <a:prstGeom prst="rect">
          <a:avLst/>
        </a:prstGeom>
      </xdr:spPr>
    </xdr:pic>
    <xdr:clientData/>
  </xdr:twoCellAnchor>
  <xdr:twoCellAnchor>
    <xdr:from>
      <xdr:col>10</xdr:col>
      <xdr:colOff>269070</xdr:colOff>
      <xdr:row>0</xdr:row>
      <xdr:rowOff>105336</xdr:rowOff>
    </xdr:from>
    <xdr:to>
      <xdr:col>14</xdr:col>
      <xdr:colOff>0</xdr:colOff>
      <xdr:row>3</xdr:row>
      <xdr:rowOff>0</xdr:rowOff>
    </xdr:to>
    <xdr:sp macro="" textlink="">
      <xdr:nvSpPr>
        <xdr:cNvPr id="6" name="Rectangle: Rounded Corners 5">
          <a:extLst>
            <a:ext uri="{FF2B5EF4-FFF2-40B4-BE49-F238E27FC236}">
              <a16:creationId xmlns:a16="http://schemas.microsoft.com/office/drawing/2014/main" id="{8AE598C8-4588-C719-593D-8064D6C45BE4}"/>
            </a:ext>
          </a:extLst>
        </xdr:cNvPr>
        <xdr:cNvSpPr/>
      </xdr:nvSpPr>
      <xdr:spPr>
        <a:xfrm>
          <a:off x="7018213" y="105336"/>
          <a:ext cx="2430587" cy="4171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lvl="0" algn="ctr"/>
          <a:r>
            <a:rPr lang="en-ZA" sz="2000"/>
            <a:t>HSEQ</a:t>
          </a:r>
          <a:r>
            <a:rPr lang="en-ZA" sz="2000" baseline="0"/>
            <a:t> </a:t>
          </a:r>
          <a:r>
            <a:rPr lang="en-ZA" sz="2000"/>
            <a:t>DASHBOARD</a:t>
          </a:r>
        </a:p>
      </xdr:txBody>
    </xdr:sp>
    <xdr:clientData/>
  </xdr:twoCellAnchor>
  <xdr:twoCellAnchor>
    <xdr:from>
      <xdr:col>0</xdr:col>
      <xdr:colOff>155090</xdr:colOff>
      <xdr:row>0</xdr:row>
      <xdr:rowOff>130629</xdr:rowOff>
    </xdr:from>
    <xdr:to>
      <xdr:col>7</xdr:col>
      <xdr:colOff>576943</xdr:colOff>
      <xdr:row>21</xdr:row>
      <xdr:rowOff>163286</xdr:rowOff>
    </xdr:to>
    <xdr:graphicFrame macro="">
      <xdr:nvGraphicFramePr>
        <xdr:cNvPr id="9" name="Chart 8">
          <a:extLst>
            <a:ext uri="{FF2B5EF4-FFF2-40B4-BE49-F238E27FC236}">
              <a16:creationId xmlns:a16="http://schemas.microsoft.com/office/drawing/2014/main" id="{0CC2F398-82B2-4D28-A5FA-7EE4FA579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138632</xdr:colOff>
      <xdr:row>22</xdr:row>
      <xdr:rowOff>51228</xdr:rowOff>
    </xdr:from>
    <xdr:to>
      <xdr:col>7</xdr:col>
      <xdr:colOff>598714</xdr:colOff>
      <xdr:row>37</xdr:row>
      <xdr:rowOff>152400</xdr:rowOff>
    </xdr:to>
    <xdr:graphicFrame macro="">
      <xdr:nvGraphicFramePr>
        <xdr:cNvPr id="10" name="Chart 9">
          <a:extLst>
            <a:ext uri="{FF2B5EF4-FFF2-40B4-BE49-F238E27FC236}">
              <a16:creationId xmlns:a16="http://schemas.microsoft.com/office/drawing/2014/main" id="{FBDDC1C6-29A4-4F7B-BC50-C8BCD92DF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79466</xdr:colOff>
      <xdr:row>22</xdr:row>
      <xdr:rowOff>51228</xdr:rowOff>
    </xdr:from>
    <xdr:to>
      <xdr:col>17</xdr:col>
      <xdr:colOff>435427</xdr:colOff>
      <xdr:row>37</xdr:row>
      <xdr:rowOff>160404</xdr:rowOff>
    </xdr:to>
    <xdr:graphicFrame macro="">
      <xdr:nvGraphicFramePr>
        <xdr:cNvPr id="11" name="Chart 10">
          <a:extLst>
            <a:ext uri="{FF2B5EF4-FFF2-40B4-BE49-F238E27FC236}">
              <a16:creationId xmlns:a16="http://schemas.microsoft.com/office/drawing/2014/main" id="{FAC79E52-1D8B-4E6D-9188-2EE75509B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511628</xdr:colOff>
      <xdr:row>0</xdr:row>
      <xdr:rowOff>65314</xdr:rowOff>
    </xdr:from>
    <xdr:to>
      <xdr:col>24</xdr:col>
      <xdr:colOff>0</xdr:colOff>
      <xdr:row>18</xdr:row>
      <xdr:rowOff>152399</xdr:rowOff>
    </xdr:to>
    <xdr:graphicFrame macro="">
      <xdr:nvGraphicFramePr>
        <xdr:cNvPr id="13" name="Chart 12">
          <a:extLst>
            <a:ext uri="{FF2B5EF4-FFF2-40B4-BE49-F238E27FC236}">
              <a16:creationId xmlns:a16="http://schemas.microsoft.com/office/drawing/2014/main" id="{1146E7B2-89CD-4ABA-9C1A-018697E7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594632</xdr:colOff>
      <xdr:row>20</xdr:row>
      <xdr:rowOff>130627</xdr:rowOff>
    </xdr:from>
    <xdr:to>
      <xdr:col>23</xdr:col>
      <xdr:colOff>539175</xdr:colOff>
      <xdr:row>29</xdr:row>
      <xdr:rowOff>100713</xdr:rowOff>
    </xdr:to>
    <xdr:grpSp>
      <xdr:nvGrpSpPr>
        <xdr:cNvPr id="24" name="Group 23">
          <a:extLst>
            <a:ext uri="{FF2B5EF4-FFF2-40B4-BE49-F238E27FC236}">
              <a16:creationId xmlns:a16="http://schemas.microsoft.com/office/drawing/2014/main" id="{A751004F-9C94-0425-3ECA-B4ED36FC0282}"/>
            </a:ext>
          </a:extLst>
        </xdr:cNvPr>
        <xdr:cNvGrpSpPr/>
      </xdr:nvGrpSpPr>
      <xdr:grpSpPr>
        <a:xfrm>
          <a:off x="14092918" y="3614056"/>
          <a:ext cx="1969286" cy="1537628"/>
          <a:chOff x="12116620" y="5135314"/>
          <a:chExt cx="1969286" cy="1537628"/>
        </a:xfrm>
      </xdr:grpSpPr>
      <mc:AlternateContent xmlns:mc="http://schemas.openxmlformats.org/markup-compatibility/2006">
        <mc:Choice xmlns:a14="http://schemas.microsoft.com/office/drawing/2010/main" Requires="a14">
          <xdr:graphicFrame macro="">
            <xdr:nvGraphicFramePr>
              <xdr:cNvPr id="14" name="Safe work hours ">
                <a:extLst>
                  <a:ext uri="{FF2B5EF4-FFF2-40B4-BE49-F238E27FC236}">
                    <a16:creationId xmlns:a16="http://schemas.microsoft.com/office/drawing/2014/main" id="{937EC6D3-FBF6-6473-C049-3A097DEC6494}"/>
                  </a:ext>
                </a:extLst>
              </xdr:cNvPr>
              <xdr:cNvGraphicFramePr/>
            </xdr:nvGraphicFramePr>
            <xdr:xfrm>
              <a:off x="13098207" y="5144812"/>
              <a:ext cx="882313" cy="1528129"/>
            </xdr:xfrm>
            <a:graphic>
              <a:graphicData uri="http://schemas.microsoft.com/office/drawing/2010/slicer">
                <sle:slicer xmlns:sle="http://schemas.microsoft.com/office/drawing/2010/slicer" name="Safe work hours "/>
              </a:graphicData>
            </a:graphic>
          </xdr:graphicFrame>
        </mc:Choice>
        <mc:Fallback>
          <xdr:sp macro="" textlink="">
            <xdr:nvSpPr>
              <xdr:cNvPr id="0" name=""/>
              <xdr:cNvSpPr>
                <a:spLocks noTextEdit="1"/>
              </xdr:cNvSpPr>
            </xdr:nvSpPr>
            <xdr:spPr>
              <a:xfrm>
                <a:off x="15074505" y="3623554"/>
                <a:ext cx="882313" cy="15281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2025 SAFE WORKING HOURS">
                <a:extLst>
                  <a:ext uri="{FF2B5EF4-FFF2-40B4-BE49-F238E27FC236}">
                    <a16:creationId xmlns:a16="http://schemas.microsoft.com/office/drawing/2014/main" id="{CE6BD93D-3AA6-4CDD-54DC-CB5F220D2F70}"/>
                  </a:ext>
                </a:extLst>
              </xdr:cNvPr>
              <xdr:cNvGraphicFramePr/>
            </xdr:nvGraphicFramePr>
            <xdr:xfrm>
              <a:off x="12235544" y="5144124"/>
              <a:ext cx="923722" cy="1528818"/>
            </xdr:xfrm>
            <a:graphic>
              <a:graphicData uri="http://schemas.microsoft.com/office/drawing/2010/slicer">
                <sle:slicer xmlns:sle="http://schemas.microsoft.com/office/drawing/2010/slicer" name="2025 SAFE WORKING HOURS"/>
              </a:graphicData>
            </a:graphic>
          </xdr:graphicFrame>
        </mc:Choice>
        <mc:Fallback>
          <xdr:sp macro="" textlink="">
            <xdr:nvSpPr>
              <xdr:cNvPr id="0" name=""/>
              <xdr:cNvSpPr>
                <a:spLocks noTextEdit="1"/>
              </xdr:cNvSpPr>
            </xdr:nvSpPr>
            <xdr:spPr>
              <a:xfrm>
                <a:off x="14211842" y="3622866"/>
                <a:ext cx="923722" cy="15288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TextBox 18">
            <a:extLst>
              <a:ext uri="{FF2B5EF4-FFF2-40B4-BE49-F238E27FC236}">
                <a16:creationId xmlns:a16="http://schemas.microsoft.com/office/drawing/2014/main" id="{91EEB2FC-DA11-D476-62D8-CCBBE9CA0B60}"/>
              </a:ext>
            </a:extLst>
          </xdr:cNvPr>
          <xdr:cNvSpPr txBox="1"/>
        </xdr:nvSpPr>
        <xdr:spPr>
          <a:xfrm>
            <a:off x="12116620" y="5135314"/>
            <a:ext cx="1969286" cy="272143"/>
          </a:xfrm>
          <a:prstGeom prst="rect">
            <a:avLst/>
          </a:prstGeom>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ZA" sz="1400"/>
              <a:t>SAFE</a:t>
            </a:r>
            <a:r>
              <a:rPr lang="en-ZA" sz="1400" baseline="0"/>
              <a:t> WORKING HOURS 2025</a:t>
            </a:r>
            <a:endParaRPr lang="en-ZA" sz="1400"/>
          </a:p>
        </xdr:txBody>
      </xdr:sp>
    </xdr:grpSp>
    <xdr:clientData/>
  </xdr:twoCellAnchor>
  <xdr:twoCellAnchor>
    <xdr:from>
      <xdr:col>8</xdr:col>
      <xdr:colOff>0</xdr:colOff>
      <xdr:row>4</xdr:row>
      <xdr:rowOff>0</xdr:rowOff>
    </xdr:from>
    <xdr:to>
      <xdr:col>17</xdr:col>
      <xdr:colOff>435427</xdr:colOff>
      <xdr:row>21</xdr:row>
      <xdr:rowOff>97972</xdr:rowOff>
    </xdr:to>
    <xdr:graphicFrame macro="">
      <xdr:nvGraphicFramePr>
        <xdr:cNvPr id="22" name="Chart 21">
          <a:extLst>
            <a:ext uri="{FF2B5EF4-FFF2-40B4-BE49-F238E27FC236}">
              <a16:creationId xmlns:a16="http://schemas.microsoft.com/office/drawing/2014/main" id="{AE42FE3A-CCD6-41D2-B2E5-B955E7026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8</xdr:row>
      <xdr:rowOff>156210</xdr:rowOff>
    </xdr:from>
    <xdr:to>
      <xdr:col>3</xdr:col>
      <xdr:colOff>685800</xdr:colOff>
      <xdr:row>23</xdr:row>
      <xdr:rowOff>156210</xdr:rowOff>
    </xdr:to>
    <xdr:graphicFrame macro="">
      <xdr:nvGraphicFramePr>
        <xdr:cNvPr id="2" name="Chart 1">
          <a:extLst>
            <a:ext uri="{FF2B5EF4-FFF2-40B4-BE49-F238E27FC236}">
              <a16:creationId xmlns:a16="http://schemas.microsoft.com/office/drawing/2014/main" id="{934DC844-2BD9-B876-3BE8-43323D7F7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373380</xdr:colOff>
      <xdr:row>6</xdr:row>
      <xdr:rowOff>148590</xdr:rowOff>
    </xdr:from>
    <xdr:to>
      <xdr:col>10</xdr:col>
      <xdr:colOff>68580</xdr:colOff>
      <xdr:row>21</xdr:row>
      <xdr:rowOff>148590</xdr:rowOff>
    </xdr:to>
    <xdr:graphicFrame macro="">
      <xdr:nvGraphicFramePr>
        <xdr:cNvPr id="2" name="Chart 1">
          <a:extLst>
            <a:ext uri="{FF2B5EF4-FFF2-40B4-BE49-F238E27FC236}">
              <a16:creationId xmlns:a16="http://schemas.microsoft.com/office/drawing/2014/main" id="{9643AE09-EF93-85B7-70F0-08A09B00A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327660</xdr:colOff>
      <xdr:row>6</xdr:row>
      <xdr:rowOff>148590</xdr:rowOff>
    </xdr:from>
    <xdr:to>
      <xdr:col>12</xdr:col>
      <xdr:colOff>22860</xdr:colOff>
      <xdr:row>21</xdr:row>
      <xdr:rowOff>148590</xdr:rowOff>
    </xdr:to>
    <xdr:graphicFrame macro="">
      <xdr:nvGraphicFramePr>
        <xdr:cNvPr id="2" name="Chart 1">
          <a:extLst>
            <a:ext uri="{FF2B5EF4-FFF2-40B4-BE49-F238E27FC236}">
              <a16:creationId xmlns:a16="http://schemas.microsoft.com/office/drawing/2014/main" id="{FFBDB06D-7435-736D-B0BA-29A5BA1FD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1764030</xdr:colOff>
      <xdr:row>7</xdr:row>
      <xdr:rowOff>22860</xdr:rowOff>
    </xdr:from>
    <xdr:to>
      <xdr:col>7</xdr:col>
      <xdr:colOff>430530</xdr:colOff>
      <xdr:row>22</xdr:row>
      <xdr:rowOff>137160</xdr:rowOff>
    </xdr:to>
    <xdr:graphicFrame macro="">
      <xdr:nvGraphicFramePr>
        <xdr:cNvPr id="3" name="Chart 2">
          <a:extLst>
            <a:ext uri="{FF2B5EF4-FFF2-40B4-BE49-F238E27FC236}">
              <a16:creationId xmlns:a16="http://schemas.microsoft.com/office/drawing/2014/main" id="{81B1260F-E527-3F30-36B2-D761B4DB8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470334143516" createdVersion="8" refreshedVersion="8" minRefreshableVersion="3" recordCount="19" xr:uid="{7F706941-97A1-4C33-BFCE-B3B9F0794359}">
  <cacheSource type="worksheet">
    <worksheetSource name="Audit___Inspection"/>
  </cacheSource>
  <cacheFields count="13">
    <cacheField name="DATE" numFmtId="0">
      <sharedItems/>
    </cacheField>
    <cacheField name="#" numFmtId="0">
      <sharedItems containsSemiMixedTypes="0" containsString="0" containsNumber="1" containsInteger="1" minValue="1" maxValue="9"/>
    </cacheField>
    <cacheField name="SITE NAME" numFmtId="0">
      <sharedItems count="6">
        <s v="ROSHNEE"/>
        <s v="MAYVILLE"/>
        <s v="THE REEDS"/>
        <s v="EDENGLEN"/>
        <s v="WINELANDS"/>
        <s v="SIYABUSWA"/>
      </sharedItems>
    </cacheField>
    <cacheField name="AUDITOR" numFmtId="0">
      <sharedItems/>
    </cacheField>
    <cacheField name="AUDIT SCORE" numFmtId="9">
      <sharedItems containsSemiMixedTypes="0" containsString="0" containsNumber="1" minValue="0.93" maxValue="1"/>
    </cacheField>
    <cacheField name="TARGET" numFmtId="9">
      <sharedItems containsSemiMixedTypes="0" containsString="0" containsNumber="1" minValue="0.95" maxValue="0.95"/>
    </cacheField>
    <cacheField name="FINDINGS" numFmtId="0">
      <sharedItems/>
    </cacheField>
    <cacheField name="NON-CONFORMANCE" numFmtId="0">
      <sharedItems/>
    </cacheField>
    <cacheField name="IMMEDIATE ACTION" numFmtId="0">
      <sharedItems/>
    </cacheField>
    <cacheField name="STATUS" numFmtId="0">
      <sharedItems/>
    </cacheField>
    <cacheField name="CLOSE OUT DATE" numFmtId="16">
      <sharedItems containsSemiMixedTypes="0" containsNonDate="0" containsDate="1" containsString="0" minDate="2025-02-25T00:00:00" maxDate="2025-12-07T00:00:00" count="9">
        <d v="2025-12-06T00:00:00"/>
        <d v="2025-02-25T00:00:00"/>
        <d v="2025-02-27T00:00:00"/>
        <d v="2025-03-25T00:00:00"/>
        <d v="2025-04-29T00:00:00"/>
        <d v="2025-04-30T00:00:00"/>
        <d v="2025-04-27T00:00:00"/>
        <d v="2025-05-09T00:00:00"/>
        <d v="2025-05-08T00:00:00"/>
      </sharedItems>
      <fieldGroup par="12"/>
    </cacheField>
    <cacheField name="Days (CLOSE OUT DATE)" numFmtId="0" databaseField="0">
      <fieldGroup base="10">
        <rangePr groupBy="days" startDate="2025-02-25T00:00:00" endDate="2025-12-07T00:00:00"/>
        <groupItems count="368">
          <s v="&lt;2025/02/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2/07"/>
        </groupItems>
      </fieldGroup>
    </cacheField>
    <cacheField name="Months (CLOSE OUT DATE)" numFmtId="0" databaseField="0">
      <fieldGroup base="10">
        <rangePr groupBy="months" startDate="2025-02-25T00:00:00" endDate="2025-12-07T00:00:00"/>
        <groupItems count="14">
          <s v="&lt;2025/02/25"/>
          <s v="Jan"/>
          <s v="Feb"/>
          <s v="Mar"/>
          <s v="Apr"/>
          <s v="May"/>
          <s v="Jun"/>
          <s v="Jul"/>
          <s v="Aug"/>
          <s v="Sept"/>
          <s v="Oct"/>
          <s v="Nov"/>
          <s v="Dec"/>
          <s v="&gt;2025/12/0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470335648148" createdVersion="8" refreshedVersion="8" minRefreshableVersion="3" recordCount="19" xr:uid="{DC7D6123-0475-49AA-A9F7-6F6A3D22B58E}">
  <cacheSource type="worksheet">
    <worksheetSource name="Audit___Inspection5"/>
  </cacheSource>
  <cacheFields count="11">
    <cacheField name="DATE" numFmtId="0">
      <sharedItems/>
    </cacheField>
    <cacheField name="SITE NAME" numFmtId="0">
      <sharedItems/>
    </cacheField>
    <cacheField name="AUDITOR" numFmtId="0">
      <sharedItems/>
    </cacheField>
    <cacheField name="AUDIT SCORE" numFmtId="9">
      <sharedItems containsString="0" containsBlank="1" containsNumber="1" minValue="0.93" maxValue="1"/>
    </cacheField>
    <cacheField name="TARGET" numFmtId="9">
      <sharedItems containsSemiMixedTypes="0" containsString="0" containsNumber="1" minValue="0.95" maxValue="0.95"/>
    </cacheField>
    <cacheField name="FINDINGS" numFmtId="0">
      <sharedItems/>
    </cacheField>
    <cacheField name="Column1" numFmtId="0">
      <sharedItems containsString="0" containsBlank="1" containsNumber="1" containsInteger="1" minValue="1" maxValue="9"/>
    </cacheField>
    <cacheField name="NON-CONFORMANCE" numFmtId="0">
      <sharedItems count="8">
        <s v="ADMINISTRATIVE"/>
        <s v="ENVIRONMENTAL"/>
        <s v="HOUSEKEEPING"/>
        <s v="TRAINING"/>
        <s v="NONE"/>
        <s v="SITE ACCESS"/>
        <s v="FORMWORK/SCAFFOLDING"/>
        <s v="POWER TOOLS"/>
      </sharedItems>
    </cacheField>
    <cacheField name="IMMEDIATE ACTION" numFmtId="0">
      <sharedItems/>
    </cacheField>
    <cacheField name="STATUS" numFmtId="0">
      <sharedItems/>
    </cacheField>
    <cacheField name="CLOSE OUT DATE" numFmtId="16">
      <sharedItems containsSemiMixedTypes="0" containsNonDate="0" containsDate="1" containsString="0" minDate="2025-02-25T00:00:00" maxDate="2025-12-07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470336574072" createdVersion="8" refreshedVersion="8" minRefreshableVersion="3" recordCount="19" xr:uid="{00D71148-55FF-4F96-9E53-8DD619450713}">
  <cacheSource type="worksheet">
    <worksheetSource name="Audit___Inspection"/>
  </cacheSource>
  <cacheFields count="11">
    <cacheField name="DATE" numFmtId="0">
      <sharedItems/>
    </cacheField>
    <cacheField name="#" numFmtId="0">
      <sharedItems containsSemiMixedTypes="0" containsString="0" containsNumber="1" containsInteger="1" minValue="1" maxValue="9"/>
    </cacheField>
    <cacheField name="SITE NAME" numFmtId="0">
      <sharedItems count="6">
        <s v="ROSHNEE"/>
        <s v="MAYVILLE"/>
        <s v="THE REEDS"/>
        <s v="EDENGLEN"/>
        <s v="WINELANDS"/>
        <s v="SIYABUSWA"/>
      </sharedItems>
    </cacheField>
    <cacheField name="AUDITOR" numFmtId="0">
      <sharedItems/>
    </cacheField>
    <cacheField name="AUDIT SCORE" numFmtId="9">
      <sharedItems containsSemiMixedTypes="0" containsString="0" containsNumber="1" minValue="0.93" maxValue="1"/>
    </cacheField>
    <cacheField name="TARGET" numFmtId="9">
      <sharedItems containsSemiMixedTypes="0" containsString="0" containsNumber="1" minValue="0.95" maxValue="0.95"/>
    </cacheField>
    <cacheField name="FINDINGS" numFmtId="0">
      <sharedItems/>
    </cacheField>
    <cacheField name="NON-CONFORMANCE" numFmtId="0">
      <sharedItems/>
    </cacheField>
    <cacheField name="IMMEDIATE ACTION" numFmtId="0">
      <sharedItems count="19">
        <s v="COMPLETE INSPECTION REGISTERS DURING AUDIT"/>
        <s v="STAFF MEMBER WAS STOPPED - ESTABLISHED THAT PAINT BEING WASHED WAS WATER BASED - STAFF WAS REQUESTED TO USE DESIGNATED AREA TO CLEAN HAND TOOLS"/>
        <s v="WALKWAY CLEARED OF EXCESS MATERIAL"/>
        <s v="CHECKLIST TO BE COMPLETED PRIOR TO WORKS STARTING"/>
        <s v="NAMES ON ID'S DIFFERENT TO APPOINTMENT NAMES - ID'S WAS PRESENT IN FILE"/>
        <s v="NO WORKING AT HEIGHTS REQUIRED ON SITE - NO DOCUMENTS ADDED TO FILE"/>
        <s v="NO CONSTRUCTION VEHICLES USED ON SITE - STAFF BUS INSPECTION AND DRIVERS LICENCE EMAILED TO SHEMCA"/>
        <s v="NO ACTION"/>
        <s v="ALL APPOINTMENTS DATED AND PROOF FORWARDED TO PRIME OHS"/>
        <s v="ORGANOGRAM UPDATED"/>
        <s v="WARNING SIGNS AND BARICADES INSTALLED FOR OVERHEAD WORKS"/>
        <s v="INSTALL TOE BOARS, SIGNAGE AND REMOVE RUBBLE UNDERNEATH SCAFFOLDING"/>
        <s v="TOOLBOX TALK ON MSDS WAS HELD AND SIGNED BY ALL STAFF IN ATTENDANCE"/>
        <s v="PROOF OF COMPETENCY PRINTED AND ADDED TO FILE"/>
        <s v="PRINTED NEW PUBLIC LIABILITY AND ADDED TO SAFETY FILE"/>
        <s v="COPY OF LSR RULES WAS AGAIN EXPLAINED AND SIGNED BY ALL STAFF MEMBERS ON SITE. PROOF FORWARDED TO AUDITOR"/>
        <s v="APPOINTMENT SIGNED BY"/>
        <s v="PLUG WAS REPLACED - EXTENSION CORD CHECKED AND IN GOOD WORKING ORDER"/>
        <s v="STAFF TRAINED ON MSDS PRIOR TO WORKS COMMENCE ON SITE"/>
      </sharedItems>
    </cacheField>
    <cacheField name="STATUS" numFmtId="0">
      <sharedItems/>
    </cacheField>
    <cacheField name="CLOSE OUT DATE" numFmtId="16">
      <sharedItems containsSemiMixedTypes="0" containsNonDate="0" containsDate="1" containsString="0" minDate="2025-02-25T00:00:00" maxDate="2025-12-07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470337384257" createdVersion="8" refreshedVersion="8" minRefreshableVersion="3" recordCount="11" xr:uid="{7FD95D44-1539-45A6-956D-901522515839}">
  <cacheSource type="worksheet">
    <worksheetSource ref="A1:I12" sheet="Audit data"/>
  </cacheSource>
  <cacheFields count="9">
    <cacheField name="DATE" numFmtId="14">
      <sharedItems containsSemiMixedTypes="0" containsNonDate="0" containsDate="1" containsString="0" minDate="2024-10-20T00:00:00" maxDate="2025-05-14T00:00:00"/>
    </cacheField>
    <cacheField name="SITE NAME" numFmtId="0">
      <sharedItems count="7">
        <s v="ROSHNEE"/>
        <s v="MAYVILLE"/>
        <s v="THE REEDS"/>
        <s v="EDENGLEN"/>
        <s v="SIYABUSWA"/>
        <s v="THE REEDS "/>
        <s v="WINELANDS SOUTH"/>
      </sharedItems>
    </cacheField>
    <cacheField name="SCOPE OF WORKS" numFmtId="0">
      <sharedItems/>
    </cacheField>
    <cacheField name="SITE MANAGER" numFmtId="0">
      <sharedItems/>
    </cacheField>
    <cacheField name="SITE SUPERVISOR" numFmtId="0">
      <sharedItems/>
    </cacheField>
    <cacheField name="HSEQ CONSULTANT" numFmtId="0">
      <sharedItems/>
    </cacheField>
    <cacheField name="AUDIT # " numFmtId="0">
      <sharedItems containsSemiMixedTypes="0" containsString="0" containsNumber="1" containsInteger="1" minValue="1" maxValue="3"/>
    </cacheField>
    <cacheField name="TARGET" numFmtId="9">
      <sharedItems containsSemiMixedTypes="0" containsString="0" containsNumber="1" minValue="0.95" maxValue="0.97"/>
    </cacheField>
    <cacheField name="RESULT" numFmtId="9">
      <sharedItems containsSemiMixedTypes="0" containsString="0" containsNumber="1" minValue="0.93" maxValue="1"/>
    </cacheField>
  </cacheFields>
  <extLst>
    <ext xmlns:x14="http://schemas.microsoft.com/office/spreadsheetml/2009/9/main" uri="{725AE2AE-9491-48be-B2B4-4EB974FC3084}">
      <x14:pivotCacheDefinition pivotCacheId="21067681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505566319443" createdVersion="8" refreshedVersion="8" minRefreshableVersion="3" recordCount="63" xr:uid="{A5FF38CC-0822-4D30-9F70-D6D2809A5AD0}">
  <cacheSource type="worksheet">
    <worksheetSource name="Training_Records"/>
  </cacheSource>
  <cacheFields count="8">
    <cacheField name="Employee Name" numFmtId="0">
      <sharedItems/>
    </cacheField>
    <cacheField name="#" numFmtId="0">
      <sharedItems containsSemiMixedTypes="0" containsString="0" containsNumber="1" containsInteger="1" minValue="1" maxValue="17" count="17">
        <n v="1"/>
        <n v="2"/>
        <n v="3"/>
        <n v="4"/>
        <n v="5"/>
        <n v="6"/>
        <n v="7"/>
        <n v="8"/>
        <n v="9"/>
        <n v="10"/>
        <n v="11"/>
        <n v="12"/>
        <n v="13"/>
        <n v="14"/>
        <n v="15"/>
        <n v="16"/>
        <n v="17"/>
      </sharedItems>
    </cacheField>
    <cacheField name="Role" numFmtId="0">
      <sharedItems/>
    </cacheField>
    <cacheField name="Training Topic" numFmtId="0">
      <sharedItems count="8">
        <s v="Demolition for supervisor"/>
        <s v="Emergency Evacuation"/>
        <s v="First Aid Level 1"/>
        <s v="Scaffold Erecter"/>
        <s v="Scaffold Inspector"/>
        <s v="Excavation for supervisor"/>
        <s v="Construction regulation"/>
        <s v="Legal Liability"/>
      </sharedItems>
    </cacheField>
    <cacheField name="Date Completed" numFmtId="0">
      <sharedItems/>
    </cacheField>
    <cacheField name="Valid Until" numFmtId="0">
      <sharedItems/>
    </cacheField>
    <cacheField name="Trainer" numFmtId="0">
      <sharedItems/>
    </cacheField>
    <cacheField name="Certificate" numFmtId="0">
      <sharedItems containsMixedTypes="1" containsNumber="1" containsInteger="1" minValue="1166" maxValue="5188"/>
    </cacheField>
  </cacheFields>
  <extLst>
    <ext xmlns:x14="http://schemas.microsoft.com/office/spreadsheetml/2009/9/main" uri="{725AE2AE-9491-48be-B2B4-4EB974FC3084}">
      <x14:pivotCacheDefinition pivotCacheId="12844280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non Steenberg" refreshedDate="45803.510160995371" createdVersion="8" refreshedVersion="8" minRefreshableVersion="3" recordCount="4" xr:uid="{306BB9C4-163C-4612-897F-2E35F47661C9}">
  <cacheSource type="worksheet">
    <worksheetSource name="Incident_Reporting"/>
  </cacheSource>
  <cacheFields count="8">
    <cacheField name="Month" numFmtId="0">
      <sharedItems count="4">
        <s v="January "/>
        <s v="February "/>
        <s v="March"/>
        <s v="April"/>
      </sharedItems>
    </cacheField>
    <cacheField name="Safe work hours " numFmtId="0">
      <sharedItems containsSemiMixedTypes="0" containsString="0" containsNumber="1" containsInteger="1" minValue="8400" maxValue="13081" count="4">
        <n v="8400"/>
        <n v="12698"/>
        <n v="13081"/>
        <n v="10200"/>
      </sharedItems>
    </cacheField>
    <cacheField name="Incident reported" numFmtId="0">
      <sharedItems containsSemiMixedTypes="0" containsString="0" containsNumber="1" containsInteger="1" minValue="0" maxValue="0"/>
    </cacheField>
    <cacheField name="Near misses " numFmtId="0">
      <sharedItems containsSemiMixedTypes="0" containsString="0" containsNumber="1" containsInteger="1" minValue="0" maxValue="0"/>
    </cacheField>
    <cacheField name="Root Cause" numFmtId="0">
      <sharedItems containsNonDate="0" containsString="0" containsBlank="1"/>
    </cacheField>
    <cacheField name="Corrective Actions" numFmtId="0">
      <sharedItems/>
    </cacheField>
    <cacheField name="Status" numFmtId="0">
      <sharedItems/>
    </cacheField>
    <cacheField name="Reported By" numFmtId="0">
      <sharedItems/>
    </cacheField>
  </cacheFields>
  <extLst>
    <ext xmlns:x14="http://schemas.microsoft.com/office/spreadsheetml/2009/9/main" uri="{725AE2AE-9491-48be-B2B4-4EB974FC3084}">
      <x14:pivotCacheDefinition pivotCacheId="668944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05/12/2024"/>
    <n v="1"/>
    <x v="0"/>
    <s v="PRIME OSH"/>
    <n v="0.98"/>
    <n v="0.95"/>
    <s v="INSPECTION REGISTER NOT COMPLETED "/>
    <s v="ADMINISTRATIVE"/>
    <s v="COMPLETE INSPECTION REGISTERS DURING AUDIT"/>
    <s v="COMPLETE"/>
    <x v="0"/>
  </r>
  <r>
    <s v="05/12/2024"/>
    <n v="1"/>
    <x v="0"/>
    <s v="PRIME OSH"/>
    <n v="0.98"/>
    <n v="0.95"/>
    <s v="PAINT BRUSH WASHED IN OPEN AREA"/>
    <s v="ENVIRONMENTAL"/>
    <s v="STAFF MEMBER WAS STOPPED - ESTABLISHED THAT PAINT BEING WASHED WAS WATER BASED - STAFF WAS REQUESTED TO USE DESIGNATED AREA TO CLEAN HAND TOOLS"/>
    <s v="COMPLETE"/>
    <x v="0"/>
  </r>
  <r>
    <s v="05/12/2024"/>
    <n v="1"/>
    <x v="0"/>
    <s v="PRIME OSH"/>
    <n v="0.98"/>
    <n v="0.95"/>
    <s v="STACKING AND STORAGE"/>
    <s v="HOUSEKEEPING"/>
    <s v="WALKWAY CLEARED OF EXCESS MATERIAL"/>
    <s v="COMPLETE"/>
    <x v="0"/>
  </r>
  <r>
    <s v="25/02/2025"/>
    <n v="2"/>
    <x v="1"/>
    <s v="SHEMCA"/>
    <n v="0.93"/>
    <n v="0.95"/>
    <s v="BLANK FIRST AID CHECKLIST"/>
    <s v="ADMINISTRATIVE"/>
    <s v="CHECKLIST TO BE COMPLETED PRIOR TO WORKS STARTING"/>
    <s v="COMPLETE"/>
    <x v="1"/>
  </r>
  <r>
    <s v="25/02/2025"/>
    <n v="2"/>
    <x v="1"/>
    <s v="SHEMCA"/>
    <n v="0.93"/>
    <n v="0.95"/>
    <s v="NO ID'S FOR SHERRIF MASELANE &amp; MANDLA NDLOVU"/>
    <s v="ADMINISTRATIVE"/>
    <s v="NAMES ON ID'S DIFFERENT TO APPOINTMENT NAMES - ID'S WAS PRESENT IN FILE"/>
    <s v="COMPLETE"/>
    <x v="1"/>
  </r>
  <r>
    <s v="25/02/2025"/>
    <n v="2"/>
    <x v="1"/>
    <s v="SHEMCA"/>
    <n v="0.93"/>
    <n v="0.95"/>
    <s v="WORKING AT HEIGHTS NOT IN FILE"/>
    <s v="TRAINING"/>
    <s v="NO WORKING AT HEIGHTS REQUIRED ON SITE - NO DOCUMENTS ADDED TO FILE"/>
    <s v="COMPLETE"/>
    <x v="1"/>
  </r>
  <r>
    <s v="25/02/2025"/>
    <n v="2"/>
    <x v="1"/>
    <s v="SHEMCA"/>
    <n v="0.93"/>
    <n v="0.95"/>
    <s v="CONSTRUCTION VEHICLE APPOINTMENT NOT COMPLETED"/>
    <s v="ADMINISTRATIVE"/>
    <s v="NO CONSTRUCTION VEHICLES USED ON SITE - STAFF BUS INSPECTION AND DRIVERS LICENCE EMAILED TO SHEMCA"/>
    <s v="COMPLETE"/>
    <x v="1"/>
  </r>
  <r>
    <s v="27/02/2025"/>
    <n v="3"/>
    <x v="1"/>
    <s v="SHEMCA"/>
    <n v="1"/>
    <n v="0.95"/>
    <s v="NO FINDINGS"/>
    <s v="NONE"/>
    <s v="NO ACTION"/>
    <s v="COMPLETE"/>
    <x v="2"/>
  </r>
  <r>
    <s v="25/03/2025"/>
    <n v="4"/>
    <x v="2"/>
    <s v="PRIME OSH"/>
    <n v="0.97"/>
    <n v="0.95"/>
    <s v="APPOINTMENTS NEED TO BE DATED"/>
    <s v="ADMINISTRATIVE"/>
    <s v="ALL APPOINTMENTS DATED AND PROOF FORWARDED TO PRIME OHS"/>
    <s v="COMPLETE"/>
    <x v="3"/>
  </r>
  <r>
    <s v="25/03/2025"/>
    <n v="4"/>
    <x v="2"/>
    <s v="PRIME OSH"/>
    <n v="0.97"/>
    <n v="0.95"/>
    <s v="ORGANOGRAM NOT COMPLETED"/>
    <s v="ADMINISTRATIVE"/>
    <s v="ORGANOGRAM UPDATED"/>
    <s v="COMPLETE"/>
    <x v="3"/>
  </r>
  <r>
    <s v="29/04/2025"/>
    <n v="5"/>
    <x v="2"/>
    <s v="PRIME OSH"/>
    <n v="0.99"/>
    <n v="0.95"/>
    <s v="ACCESS HANDRAIL TO ADHERE TO HSE STANDARDS"/>
    <s v="SITE ACCESS"/>
    <s v="WARNING SIGNS AND BARICADES INSTALLED FOR OVERHEAD WORKS"/>
    <s v="COMPLETE"/>
    <x v="4"/>
  </r>
  <r>
    <s v="30/04/2025"/>
    <n v="5"/>
    <x v="2"/>
    <s v="24 HOUR"/>
    <n v="0.98060000000000003"/>
    <n v="0.95"/>
    <s v="SCAFFOLD INSTALLATION NOT TO SANS10085"/>
    <s v="FORMWORK/SCAFFOLDING"/>
    <s v="INSTALL TOE BOARS, SIGNAGE AND REMOVE RUBBLE UNDERNEATH SCAFFOLDING"/>
    <s v="COMPLETE"/>
    <x v="5"/>
  </r>
  <r>
    <s v="25/04/2025"/>
    <n v="6"/>
    <x v="3"/>
    <s v="PRIME OSH"/>
    <n v="0.99"/>
    <n v="0.95"/>
    <s v="ENSURE ALL STAFF ARE TRAINED ON MSDS"/>
    <s v="TRAINING"/>
    <s v="TOOLBOX TALK ON MSDS WAS HELD AND SIGNED BY ALL STAFF IN ATTENDANCE"/>
    <s v="COMPLETE"/>
    <x v="6"/>
  </r>
  <r>
    <s v="08/05/2025"/>
    <n v="7"/>
    <x v="3"/>
    <s v="24 HOUR"/>
    <n v="0.97"/>
    <n v="0.95"/>
    <s v="NO PROOF OF LEGAL LIABILITY AVAILABLE IN FILE"/>
    <s v="TRAINING"/>
    <s v="PROOF OF COMPETENCY PRINTED AND ADDED TO FILE"/>
    <s v="COMPLETE"/>
    <x v="7"/>
  </r>
  <r>
    <s v="01/05/2025"/>
    <n v="8"/>
    <x v="4"/>
    <s v="SHEMCA"/>
    <n v="0.96"/>
    <n v="0.95"/>
    <s v="PUBLIC LIABILITY IN FILE EXPIRED"/>
    <s v="ADMINISTRATIVE"/>
    <s v="PRINTED NEW PUBLIC LIABILITY AND ADDED TO SAFETY FILE"/>
    <s v="COMPLETE"/>
    <x v="8"/>
  </r>
  <r>
    <s v="01/05/2025"/>
    <n v="8"/>
    <x v="4"/>
    <s v="SHEMCA"/>
    <n v="0.96"/>
    <n v="0.95"/>
    <s v="LIFE SAVING RULES TO BE SIGNED BY ALL STAFF"/>
    <s v="ADMINISTRATIVE"/>
    <s v="COPY OF LSR RULES WAS AGAIN EXPLAINED AND SIGNED BY ALL STAFF MEMBERS ON SITE. PROOF FORWARDED TO AUDITOR"/>
    <s v="COMPLETE"/>
    <x v="8"/>
  </r>
  <r>
    <s v="01/05/2025"/>
    <n v="8"/>
    <x v="4"/>
    <s v="SHEMCA"/>
    <n v="0.96"/>
    <n v="0.95"/>
    <s v="FIRST AIDER MUST SIGN TO ACCEPT APPOINTMENT"/>
    <s v="ADMINISTRATIVE"/>
    <s v="APPOINTMENT SIGNED BY"/>
    <s v="COMPLETE"/>
    <x v="8"/>
  </r>
  <r>
    <s v="01/05/2025"/>
    <n v="8"/>
    <x v="4"/>
    <s v="SHEMCA"/>
    <n v="0.96"/>
    <n v="0.95"/>
    <s v="EXTENSION CORD MUST BE KEPT IN GOOD CONDITION - PROOF OF WORN OUT EXTENSION CORD PLUG"/>
    <s v="POWER TOOLS"/>
    <s v="PLUG WAS REPLACED - EXTENSION CORD CHECKED AND IN GOOD WORKING ORDER"/>
    <s v="COMPLETE"/>
    <x v="8"/>
  </r>
  <r>
    <s v="25/04/2025"/>
    <n v="9"/>
    <x v="5"/>
    <s v="PRIME OSH"/>
    <n v="0.99"/>
    <n v="0.95"/>
    <s v="ENSURE ALL STAFF ARE TRAINED ON MSDS"/>
    <s v="TRAINING"/>
    <s v="STAFF TRAINED ON MSDS PRIOR TO WORKS COMMENCE ON SITE"/>
    <s v="COMPLETE"/>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05/12/2024"/>
    <s v="ROSHNEE"/>
    <s v="PRIME OSH"/>
    <n v="0.98"/>
    <n v="0.95"/>
    <s v="INSPECTION REGISTER NOT COMPLETED "/>
    <n v="1"/>
    <x v="0"/>
    <s v="COMPLETE INSPECTION REGISTERS DURING AUDIT"/>
    <s v="COMPLETE"/>
    <d v="2025-12-06T00:00:00"/>
  </r>
  <r>
    <s v="05/12/2024"/>
    <s v="ROSHNEE"/>
    <s v="PRIME OSH"/>
    <n v="0.98"/>
    <n v="0.95"/>
    <s v="PAINT BRUSH WASHED IN OPEN AREA"/>
    <n v="1"/>
    <x v="1"/>
    <s v="STAFF MEMBER WAS STOPPED - ESTABLISHED THAT PAINT BEING WASHED WAS WATER BASED - STAFF WAS REQUESTED TO USE DESIGNATED AREA TO CLEAN HAND TOOLS"/>
    <s v="COMPLETE"/>
    <d v="2025-12-06T00:00:00"/>
  </r>
  <r>
    <s v="05/12/2024"/>
    <s v="ROSHNEE"/>
    <s v="PRIME OSH"/>
    <n v="0.98"/>
    <n v="0.95"/>
    <s v="STACKING AND STORAGE"/>
    <n v="1"/>
    <x v="2"/>
    <s v="WALKWAY CLEARED OF EXCESS MATERIAL"/>
    <s v="COMPLETE"/>
    <d v="2025-12-06T00:00:00"/>
  </r>
  <r>
    <s v="25/02/2025"/>
    <s v="MAYVILLE"/>
    <s v="SHEMCA"/>
    <n v="0.93"/>
    <n v="0.95"/>
    <s v="BLANK FIRST AID CHECKLIST"/>
    <n v="2"/>
    <x v="0"/>
    <s v="CHECKLIST TO BE COMPLETED PRIOR TO WORKS STARTING"/>
    <s v="COMPLETE"/>
    <d v="2025-02-25T00:00:00"/>
  </r>
  <r>
    <s v="25/02/2025"/>
    <s v="MAYVILLE"/>
    <s v="SHEMCA"/>
    <m/>
    <n v="0.95"/>
    <s v="NO ID'S FOR SHERRIF MASELANE &amp; MANDLA NDLOVU"/>
    <n v="3"/>
    <x v="0"/>
    <s v="NAMES ON ID'S DIFFERENT TO APPOINTMENT NAMES - ID'S WAS PRESENT IN FILE"/>
    <s v="COMPLETE"/>
    <d v="2025-02-25T00:00:00"/>
  </r>
  <r>
    <s v="25/02/2025"/>
    <s v="MAYVILLE"/>
    <s v="SHEMCA"/>
    <m/>
    <n v="0.95"/>
    <s v="WORKING AT HEIGHTS NOT IN FILE"/>
    <n v="1"/>
    <x v="3"/>
    <s v="NO WORKING AT HEIGHTS REQUIRED ON SITE - NO DOCUMENTS ADDED TO FILE"/>
    <s v="COMPLETE"/>
    <d v="2025-02-25T00:00:00"/>
  </r>
  <r>
    <s v="25/02/2025"/>
    <s v="MAYVILLE"/>
    <s v="SHEMCA"/>
    <m/>
    <n v="0.95"/>
    <s v="CONSTRUCTION VEHICLE APPOINTMENT NOT COMPLETED"/>
    <n v="4"/>
    <x v="0"/>
    <s v="NO CONSTRUCTION VEHICLES USED ON SITE - STAFF BUS INSPECTION AND DRIVERS LICENCE EMAILED TO SHEMCA"/>
    <s v="COMPLETE"/>
    <d v="2025-02-25T00:00:00"/>
  </r>
  <r>
    <s v="27/02/2025"/>
    <s v="MAYVILLE"/>
    <s v="SHEMCA"/>
    <n v="1"/>
    <n v="0.95"/>
    <s v="NO FINDINGS"/>
    <m/>
    <x v="4"/>
    <s v="NO ACTION"/>
    <s v="COMPLETE"/>
    <d v="2025-02-27T00:00:00"/>
  </r>
  <r>
    <s v="25/03/2025"/>
    <s v="THE REEDS"/>
    <s v="PRIME OSH"/>
    <n v="0.97"/>
    <n v="0.95"/>
    <s v="APPOINTMENTS NEED TO BE DATED"/>
    <n v="5"/>
    <x v="0"/>
    <s v="ALL APPOINTMENTS DATED AND PROOF FORWARDED TO PRIME OHS"/>
    <s v="COMPLETE"/>
    <d v="2025-03-25T00:00:00"/>
  </r>
  <r>
    <s v="25/03/2025"/>
    <s v="THE REEDS"/>
    <s v="PRIME OSH"/>
    <n v="0.97"/>
    <n v="0.95"/>
    <s v="ORGANOGRAM NOT COMPLETED"/>
    <n v="6"/>
    <x v="0"/>
    <s v="ORGANOGRAM UPDATED"/>
    <s v="COMPLETE"/>
    <d v="2025-03-25T00:00:00"/>
  </r>
  <r>
    <s v="29/04/2025"/>
    <s v="THE REEDS"/>
    <s v="PRIME OSH"/>
    <n v="0.99"/>
    <n v="0.95"/>
    <s v="ACCESS HANDRAIL TO ADHERE TO HSE STANDARDS"/>
    <n v="1"/>
    <x v="5"/>
    <s v="WARNING SIGNS AND BARICADES INSTALLED FOR OVERHEAD WORKS"/>
    <s v="COMPLETE"/>
    <d v="2025-04-29T00:00:00"/>
  </r>
  <r>
    <s v="30/04/2025"/>
    <s v="THE REEDS"/>
    <s v="24 HOUR"/>
    <n v="0.98060000000000003"/>
    <n v="0.95"/>
    <s v="SCAFFOLD INSTALLATION NOT TO SANS10085"/>
    <n v="1"/>
    <x v="6"/>
    <s v="INSTALL TOE BOARS, SIGNAGE AND REMOVE RUBBLE UNDERNEATH SCAFFOLDING"/>
    <s v="COMPLETE"/>
    <d v="2025-04-30T00:00:00"/>
  </r>
  <r>
    <s v="25/04/2025"/>
    <s v="EDENGLEN"/>
    <s v="PRIME OSH"/>
    <n v="0.99"/>
    <n v="0.95"/>
    <s v="ENSURE ALL STAFF ARE TRAINED ON MSDS"/>
    <n v="2"/>
    <x v="3"/>
    <s v="TOOLBOX TALK ON MSDS WAS HELD AND SIGNED BY ALL STAFF IN ATTENDANCE"/>
    <s v="COMPLETE"/>
    <d v="2025-04-27T00:00:00"/>
  </r>
  <r>
    <s v="08/05/2025"/>
    <s v="EDENGLEN"/>
    <s v="24 HOUR"/>
    <n v="0.97"/>
    <n v="0.95"/>
    <s v="NO PROOF OF LEGAL LIABILITY AVAILABLE IN FILE"/>
    <n v="3"/>
    <x v="3"/>
    <s v="PROOF OF COMPETENCY PRINTED AND ADDED TO FILE"/>
    <s v="COMPLETE"/>
    <d v="2025-05-09T00:00:00"/>
  </r>
  <r>
    <s v="01/05/2025"/>
    <s v="WINELANDS"/>
    <s v="SHEMCA"/>
    <n v="0.96"/>
    <n v="0.95"/>
    <s v="PUBLIC LIABILITY IN FILE EXPIRED"/>
    <n v="7"/>
    <x v="0"/>
    <s v="PRINTED NEW PUBLIC LIABILITY AND ADDED TO SAFETY FILE"/>
    <s v="COMPLETE"/>
    <d v="2025-05-08T00:00:00"/>
  </r>
  <r>
    <s v="01/05/2025"/>
    <s v="WINELANDS"/>
    <s v="SHEMCA"/>
    <n v="0.96"/>
    <n v="0.95"/>
    <s v="LIFE SAVING RULES TO BE SIGNED BY ALL STAFF"/>
    <n v="8"/>
    <x v="0"/>
    <s v="COPY OF LSR RULES WAS AGAIN EXPLAINED AND SIGNED BY ALL STAFF MEMBERS ON SITE. PROOF FORWARDED TO AUDITOR"/>
    <s v="COMPLETE"/>
    <d v="2025-05-08T00:00:00"/>
  </r>
  <r>
    <s v="01/05/2025"/>
    <s v="WINELANDS"/>
    <s v="SHEMCA"/>
    <n v="0.96"/>
    <n v="0.95"/>
    <s v="FIRST AIDER MUST SIGN TO ACCEPT APPOINTMENT"/>
    <n v="9"/>
    <x v="0"/>
    <s v="APPOINTMENT SIGNED BY"/>
    <s v="COMPLETE"/>
    <d v="2025-05-08T00:00:00"/>
  </r>
  <r>
    <s v="01/05/2025"/>
    <s v="WINELANDS"/>
    <s v="SHEMCA"/>
    <n v="0.96"/>
    <n v="0.95"/>
    <s v="EXTENSION CORD MUST BE KEPT IN GOOD CONDITION - PROOF OF WORN OUT EXTENSION CORD PLUG"/>
    <n v="1"/>
    <x v="7"/>
    <s v="PLUG WAS REPLACED - EXTENSION CORD CHECKED AND IN GOOD WORKING ORDER"/>
    <s v="COMPLETE"/>
    <d v="2025-05-08T00:00:00"/>
  </r>
  <r>
    <s v="25/04/2025"/>
    <s v="SIYABUSWA"/>
    <s v="PRIME OSH"/>
    <n v="0.99"/>
    <n v="0.95"/>
    <s v="ENSURE ALL STAFF ARE TRAINED ON MSDS"/>
    <n v="4"/>
    <x v="3"/>
    <s v="STAFF TRAINED ON MSDS PRIOR TO WORKS COMMENCE ON SITE"/>
    <s v="COMPLETE"/>
    <d v="2025-04-27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05/12/2024"/>
    <n v="1"/>
    <x v="0"/>
    <s v="PRIME OSH"/>
    <n v="0.98"/>
    <n v="0.95"/>
    <s v="INSPECTION REGISTER NOT COMPLETED "/>
    <s v="ADMINISTRATIVE"/>
    <x v="0"/>
    <s v="COMPLETE"/>
    <d v="2025-12-06T00:00:00"/>
  </r>
  <r>
    <s v="05/12/2024"/>
    <n v="1"/>
    <x v="0"/>
    <s v="PRIME OSH"/>
    <n v="0.98"/>
    <n v="0.95"/>
    <s v="PAINT BRUSH WASHED IN OPEN AREA"/>
    <s v="ENVIRONMENTAL"/>
    <x v="1"/>
    <s v="COMPLETE"/>
    <d v="2025-12-06T00:00:00"/>
  </r>
  <r>
    <s v="05/12/2024"/>
    <n v="1"/>
    <x v="0"/>
    <s v="PRIME OSH"/>
    <n v="0.98"/>
    <n v="0.95"/>
    <s v="STACKING AND STORAGE"/>
    <s v="HOUSEKEEPING"/>
    <x v="2"/>
    <s v="COMPLETE"/>
    <d v="2025-12-06T00:00:00"/>
  </r>
  <r>
    <s v="25/02/2025"/>
    <n v="2"/>
    <x v="1"/>
    <s v="SHEMCA"/>
    <n v="0.93"/>
    <n v="0.95"/>
    <s v="BLANK FIRST AID CHECKLIST"/>
    <s v="ADMINISTRATIVE"/>
    <x v="3"/>
    <s v="COMPLETE"/>
    <d v="2025-02-25T00:00:00"/>
  </r>
  <r>
    <s v="25/02/2025"/>
    <n v="2"/>
    <x v="1"/>
    <s v="SHEMCA"/>
    <n v="0.93"/>
    <n v="0.95"/>
    <s v="NO ID'S FOR SHERRIF MASELANE &amp; MANDLA NDLOVU"/>
    <s v="ADMINISTRATIVE"/>
    <x v="4"/>
    <s v="COMPLETE"/>
    <d v="2025-02-25T00:00:00"/>
  </r>
  <r>
    <s v="25/02/2025"/>
    <n v="2"/>
    <x v="1"/>
    <s v="SHEMCA"/>
    <n v="0.93"/>
    <n v="0.95"/>
    <s v="WORKING AT HEIGHTS NOT IN FILE"/>
    <s v="TRAINING"/>
    <x v="5"/>
    <s v="COMPLETE"/>
    <d v="2025-02-25T00:00:00"/>
  </r>
  <r>
    <s v="25/02/2025"/>
    <n v="2"/>
    <x v="1"/>
    <s v="SHEMCA"/>
    <n v="0.93"/>
    <n v="0.95"/>
    <s v="CONSTRUCTION VEHICLE APPOINTMENT NOT COMPLETED"/>
    <s v="ADMINISTRATIVE"/>
    <x v="6"/>
    <s v="COMPLETE"/>
    <d v="2025-02-25T00:00:00"/>
  </r>
  <r>
    <s v="27/02/2025"/>
    <n v="3"/>
    <x v="1"/>
    <s v="SHEMCA"/>
    <n v="1"/>
    <n v="0.95"/>
    <s v="NO FINDINGS"/>
    <s v="NONE"/>
    <x v="7"/>
    <s v="COMPLETE"/>
    <d v="2025-02-27T00:00:00"/>
  </r>
  <r>
    <s v="25/03/2025"/>
    <n v="4"/>
    <x v="2"/>
    <s v="PRIME OSH"/>
    <n v="0.97"/>
    <n v="0.95"/>
    <s v="APPOINTMENTS NEED TO BE DATED"/>
    <s v="ADMINISTRATIVE"/>
    <x v="8"/>
    <s v="COMPLETE"/>
    <d v="2025-03-25T00:00:00"/>
  </r>
  <r>
    <s v="25/03/2025"/>
    <n v="4"/>
    <x v="2"/>
    <s v="PRIME OSH"/>
    <n v="0.97"/>
    <n v="0.95"/>
    <s v="ORGANOGRAM NOT COMPLETED"/>
    <s v="ADMINISTRATIVE"/>
    <x v="9"/>
    <s v="COMPLETE"/>
    <d v="2025-03-25T00:00:00"/>
  </r>
  <r>
    <s v="29/04/2025"/>
    <n v="5"/>
    <x v="2"/>
    <s v="PRIME OSH"/>
    <n v="0.99"/>
    <n v="0.95"/>
    <s v="ACCESS HANDRAIL TO ADHERE TO HSE STANDARDS"/>
    <s v="SITE ACCESS"/>
    <x v="10"/>
    <s v="COMPLETE"/>
    <d v="2025-04-29T00:00:00"/>
  </r>
  <r>
    <s v="30/04/2025"/>
    <n v="5"/>
    <x v="2"/>
    <s v="24 HOUR"/>
    <n v="0.98060000000000003"/>
    <n v="0.95"/>
    <s v="SCAFFOLD INSTALLATION NOT TO SANS10085"/>
    <s v="FORMWORK/SCAFFOLDING"/>
    <x v="11"/>
    <s v="COMPLETE"/>
    <d v="2025-04-30T00:00:00"/>
  </r>
  <r>
    <s v="25/04/2025"/>
    <n v="6"/>
    <x v="3"/>
    <s v="PRIME OSH"/>
    <n v="0.99"/>
    <n v="0.95"/>
    <s v="ENSURE ALL STAFF ARE TRAINED ON MSDS"/>
    <s v="TRAINING"/>
    <x v="12"/>
    <s v="COMPLETE"/>
    <d v="2025-04-27T00:00:00"/>
  </r>
  <r>
    <s v="08/05/2025"/>
    <n v="7"/>
    <x v="3"/>
    <s v="24 HOUR"/>
    <n v="0.97"/>
    <n v="0.95"/>
    <s v="NO PROOF OF LEGAL LIABILITY AVAILABLE IN FILE"/>
    <s v="TRAINING"/>
    <x v="13"/>
    <s v="COMPLETE"/>
    <d v="2025-05-09T00:00:00"/>
  </r>
  <r>
    <s v="01/05/2025"/>
    <n v="8"/>
    <x v="4"/>
    <s v="SHEMCA"/>
    <n v="0.96"/>
    <n v="0.95"/>
    <s v="PUBLIC LIABILITY IN FILE EXPIRED"/>
    <s v="ADMINISTRATIVE"/>
    <x v="14"/>
    <s v="COMPLETE"/>
    <d v="2025-05-08T00:00:00"/>
  </r>
  <r>
    <s v="01/05/2025"/>
    <n v="8"/>
    <x v="4"/>
    <s v="SHEMCA"/>
    <n v="0.96"/>
    <n v="0.95"/>
    <s v="LIFE SAVING RULES TO BE SIGNED BY ALL STAFF"/>
    <s v="ADMINISTRATIVE"/>
    <x v="15"/>
    <s v="COMPLETE"/>
    <d v="2025-05-08T00:00:00"/>
  </r>
  <r>
    <s v="01/05/2025"/>
    <n v="8"/>
    <x v="4"/>
    <s v="SHEMCA"/>
    <n v="0.96"/>
    <n v="0.95"/>
    <s v="FIRST AIDER MUST SIGN TO ACCEPT APPOINTMENT"/>
    <s v="ADMINISTRATIVE"/>
    <x v="16"/>
    <s v="COMPLETE"/>
    <d v="2025-05-08T00:00:00"/>
  </r>
  <r>
    <s v="01/05/2025"/>
    <n v="8"/>
    <x v="4"/>
    <s v="SHEMCA"/>
    <n v="0.96"/>
    <n v="0.95"/>
    <s v="EXTENSION CORD MUST BE KEPT IN GOOD CONDITION - PROOF OF WORN OUT EXTENSION CORD PLUG"/>
    <s v="POWER TOOLS"/>
    <x v="17"/>
    <s v="COMPLETE"/>
    <d v="2025-05-08T00:00:00"/>
  </r>
  <r>
    <s v="25/04/2025"/>
    <n v="9"/>
    <x v="5"/>
    <s v="PRIME OSH"/>
    <n v="0.99"/>
    <n v="0.95"/>
    <s v="ENSURE ALL STAFF ARE TRAINED ON MSDS"/>
    <s v="TRAINING"/>
    <x v="18"/>
    <s v="COMPLETE"/>
    <d v="2025-04-27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4-10-20T00:00:00"/>
    <x v="0"/>
    <s v="VIRGO SHOPFITTING"/>
    <s v="PROFESSOR"/>
    <s v="SHERRIF"/>
    <s v="PRIME OHS"/>
    <n v="1"/>
    <n v="0.95"/>
    <n v="0.98"/>
  </r>
  <r>
    <d v="2024-12-05T00:00:00"/>
    <x v="0"/>
    <s v="VIRGO SHOPFITTING"/>
    <s v="PROFESSOR"/>
    <s v="SHERRIF"/>
    <s v="PRIME OHS"/>
    <n v="2"/>
    <n v="0.97"/>
    <n v="0.97"/>
  </r>
  <r>
    <d v="2025-02-25T00:00:00"/>
    <x v="1"/>
    <s v="VIRGO SHOPFITTING"/>
    <s v="PROFESSOR"/>
    <s v="SHERRIF"/>
    <s v="SHEMCA"/>
    <n v="1"/>
    <n v="0.95"/>
    <n v="0.93"/>
  </r>
  <r>
    <d v="2025-02-27T00:00:00"/>
    <x v="1"/>
    <s v="VIRGO SHOPFITTING"/>
    <s v="PROFESSOR"/>
    <s v="SHERRIF"/>
    <s v="SHEMCA"/>
    <n v="2"/>
    <n v="0.97"/>
    <n v="1"/>
  </r>
  <r>
    <d v="2025-03-25T00:00:00"/>
    <x v="2"/>
    <s v="VIRGO WW/SF"/>
    <s v="RONNIE"/>
    <s v="BLONDY"/>
    <s v="PRIME OHS"/>
    <n v="1"/>
    <n v="0.95"/>
    <n v="0.97"/>
  </r>
  <r>
    <d v="2025-04-25T00:00:00"/>
    <x v="3"/>
    <s v="CAFÉ 365"/>
    <s v="CAIPHUS"/>
    <s v="DUMISANI"/>
    <s v="PRIME OHS"/>
    <n v="1"/>
    <n v="0.95"/>
    <n v="0.99"/>
  </r>
  <r>
    <d v="2025-04-25T00:00:00"/>
    <x v="4"/>
    <s v="VIRGO WETWORKS"/>
    <s v="JOHANNES"/>
    <s v="PATRICK"/>
    <s v="PRIME OHS"/>
    <n v="1"/>
    <n v="0.95"/>
    <n v="0.99"/>
  </r>
  <r>
    <d v="2025-04-29T00:00:00"/>
    <x v="2"/>
    <s v="VIRGO WW/SF"/>
    <s v="RONNIE"/>
    <s v="BLONDY"/>
    <s v="PRIME OHS"/>
    <n v="2"/>
    <n v="0.97"/>
    <n v="0.99"/>
  </r>
  <r>
    <d v="2025-05-08T00:00:00"/>
    <x v="3"/>
    <s v="CAFÉ 365"/>
    <s v="CAIPHUS"/>
    <s v="DUMISANI"/>
    <s v="24 HOUR SAFETY"/>
    <n v="2"/>
    <n v="0.97"/>
    <n v="0.97"/>
  </r>
  <r>
    <d v="2025-05-13T00:00:00"/>
    <x v="5"/>
    <s v="VIRGO WW/SF"/>
    <s v="RONNIE"/>
    <s v="BLONDY"/>
    <s v="PRIME OHS"/>
    <n v="3"/>
    <n v="0.97"/>
    <n v="0.98"/>
  </r>
  <r>
    <d v="2025-05-01T00:00:00"/>
    <x v="6"/>
    <s v="CAFÉ 365"/>
    <s v="LORENZ"/>
    <s v="DANIEL"/>
    <s v="SHEMCA"/>
    <n v="1"/>
    <n v="0.95"/>
    <n v="0.9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Caiphus Sithuga"/>
    <x v="0"/>
    <s v="Site Manager"/>
    <x v="0"/>
    <s v="24/01/2025"/>
    <s v="24/01/2027"/>
    <s v="TDK"/>
    <n v="1168"/>
  </r>
  <r>
    <s v="Danger Mawalela"/>
    <x v="1"/>
    <s v="Supervisor"/>
    <x v="0"/>
    <s v="24/01/2025"/>
    <s v="24/01/2027"/>
    <s v="TDK"/>
    <n v="1166"/>
  </r>
  <r>
    <s v="Dumisani Masango"/>
    <x v="2"/>
    <s v="Supervisor"/>
    <x v="0"/>
    <s v="24/01/2025"/>
    <s v="24/01/2027"/>
    <s v="TDK"/>
    <n v="1169"/>
  </r>
  <r>
    <s v="Gibbs Masete"/>
    <x v="3"/>
    <s v="Supervisor"/>
    <x v="0"/>
    <s v="24/01/2025"/>
    <s v="24/01/2027"/>
    <s v="TDK"/>
    <n v="1170"/>
  </r>
  <r>
    <s v="Johannes Masilela"/>
    <x v="4"/>
    <s v="Site Manager"/>
    <x v="0"/>
    <s v="24/01/2025"/>
    <s v="24/01/2027"/>
    <s v="TDK"/>
    <n v="1171"/>
  </r>
  <r>
    <s v="Ronnie Mabuza"/>
    <x v="5"/>
    <s v="Site Manager"/>
    <x v="0"/>
    <s v="24/01/2025"/>
    <s v="24/01/2027"/>
    <s v="TDK"/>
    <n v="1172"/>
  </r>
  <r>
    <s v="Zama Ngidi"/>
    <x v="6"/>
    <s v="Site Manager"/>
    <x v="0"/>
    <s v="24/01/2025"/>
    <s v="24/01/2027"/>
    <s v="TDK"/>
    <n v="1167"/>
  </r>
  <r>
    <s v="Aaron Maselane"/>
    <x v="0"/>
    <s v="Shopfitter"/>
    <x v="1"/>
    <s v="25/04/2025"/>
    <s v="25/04/2027"/>
    <s v="TDK"/>
    <n v="5101"/>
  </r>
  <r>
    <s v="Blondy Malepe"/>
    <x v="1"/>
    <s v="Supervisor"/>
    <x v="1"/>
    <s v="25/04/2025"/>
    <s v="25/04/2027"/>
    <s v="TDK"/>
    <n v="5102"/>
  </r>
  <r>
    <s v="Caiphus Sithuga"/>
    <x v="2"/>
    <s v="Site Manager"/>
    <x v="1"/>
    <s v="25/04/2025"/>
    <s v="25/04/2027"/>
    <s v="TDK"/>
    <n v="5099"/>
  </r>
  <r>
    <s v="Daniel Mclaglin"/>
    <x v="3"/>
    <s v="Supervisor"/>
    <x v="1"/>
    <s v="25/04/2025"/>
    <s v="25/04/2027"/>
    <s v="TDK"/>
    <n v="5103"/>
  </r>
  <r>
    <s v="Herman Ngidi"/>
    <x v="4"/>
    <s v="General Labour"/>
    <x v="1"/>
    <s v="25/04/2025"/>
    <s v="25/04/2027"/>
    <s v="TDK"/>
    <n v="5104"/>
  </r>
  <r>
    <s v="Ian Moore"/>
    <x v="5"/>
    <s v="Director"/>
    <x v="1"/>
    <s v="25/04/2025"/>
    <s v="25/04/2027"/>
    <s v="TDK"/>
    <n v="5105"/>
  </r>
  <r>
    <s v="Johannes Masilela"/>
    <x v="6"/>
    <s v="Site Manager"/>
    <x v="1"/>
    <s v="25/04/2025"/>
    <s v="25/04/2027"/>
    <s v="TDK"/>
    <n v="5106"/>
  </r>
  <r>
    <s v="Norman Mphotu"/>
    <x v="7"/>
    <s v="Site Manager"/>
    <x v="1"/>
    <s v="25/04/2025"/>
    <s v="25/04/2027"/>
    <s v="TDK"/>
    <n v="5107"/>
  </r>
  <r>
    <s v="Sfiso Mahlangu"/>
    <x v="8"/>
    <s v="Shopfitter"/>
    <x v="1"/>
    <s v="25/04/2025"/>
    <s v="25/04/2027"/>
    <s v="TDK"/>
    <n v="5100"/>
  </r>
  <r>
    <s v="Xolani Msweni"/>
    <x v="9"/>
    <s v="General Labour"/>
    <x v="1"/>
    <s v="25/04/2025"/>
    <s v="25/04/2027"/>
    <s v="TDK"/>
    <n v="5108"/>
  </r>
  <r>
    <s v="Danger Mawalela"/>
    <x v="10"/>
    <s v="Supervisor"/>
    <x v="1"/>
    <s v="27/01/2025"/>
    <s v="24/01/2027"/>
    <s v="TDK"/>
    <n v="1175"/>
  </r>
  <r>
    <s v="Dumisani Masango"/>
    <x v="11"/>
    <s v="Supervisor"/>
    <x v="1"/>
    <s v="27/01/2025"/>
    <s v="24/01/2027"/>
    <s v="TDK"/>
    <n v="1177"/>
  </r>
  <r>
    <s v="Gibbs Masete"/>
    <x v="12"/>
    <s v="Supervisor"/>
    <x v="1"/>
    <s v="27/01/2025"/>
    <s v="24/01/2027"/>
    <s v="TDK"/>
    <n v="1174"/>
  </r>
  <r>
    <s v="Lorenz Terblance"/>
    <x v="13"/>
    <s v="Site Manager"/>
    <x v="1"/>
    <s v="27/01/2025"/>
    <s v="24/01/2027"/>
    <s v="TDK"/>
    <n v="2027"/>
  </r>
  <r>
    <s v="Patrick Masilela"/>
    <x v="14"/>
    <s v="Supervisor"/>
    <x v="1"/>
    <s v="27/01/2025"/>
    <s v="24/01/2027"/>
    <s v="TDK"/>
    <n v="1178"/>
  </r>
  <r>
    <s v="Ronnie Mabuza"/>
    <x v="15"/>
    <s v="Site Manager"/>
    <x v="1"/>
    <s v="27/01/2025"/>
    <s v="24/01/2027"/>
    <s v="TDK"/>
    <n v="1173"/>
  </r>
  <r>
    <s v="Zama Ngidi"/>
    <x v="16"/>
    <s v="Site Manager"/>
    <x v="1"/>
    <s v="27/01/2025"/>
    <s v="24/01/2027"/>
    <s v="TDK"/>
    <n v="1176"/>
  </r>
  <r>
    <s v="Danger Mawalela"/>
    <x v="0"/>
    <s v="Supervisor"/>
    <x v="2"/>
    <s v="28/04/2025"/>
    <s v="29/04/2028"/>
    <s v="TDK"/>
    <n v="5141"/>
  </r>
  <r>
    <s v="Daniel Mclaglin"/>
    <x v="1"/>
    <s v="Supervisor"/>
    <x v="2"/>
    <s v="28/04/2025"/>
    <s v="29/04/2028"/>
    <s v="TDK"/>
    <n v="5142"/>
  </r>
  <r>
    <s v="Johannes Mthombeni"/>
    <x v="2"/>
    <s v="Supervisor - Builders"/>
    <x v="2"/>
    <s v="28/04/2025"/>
    <s v="29/04/2028"/>
    <s v="TDK"/>
    <n v="5140"/>
  </r>
  <r>
    <s v="Lorenz Terblance"/>
    <x v="3"/>
    <s v="Site Manager"/>
    <x v="2"/>
    <s v="28/04/2025"/>
    <s v="29/04/2028"/>
    <s v="TDK"/>
    <n v="5139"/>
  </r>
  <r>
    <s v="Ndikho Sokhudela"/>
    <x v="4"/>
    <s v="Plasterer"/>
    <x v="2"/>
    <s v="28/04/2025"/>
    <s v="29/04/2028"/>
    <s v="TDK"/>
    <n v="5138"/>
  </r>
  <r>
    <s v="Oupa Mphotu"/>
    <x v="5"/>
    <s v="Painter"/>
    <x v="2"/>
    <s v="28/04/2025"/>
    <s v="29/04/2028"/>
    <s v="TDK"/>
    <n v="5137"/>
  </r>
  <r>
    <s v="Sfiso Mahlangu"/>
    <x v="6"/>
    <s v="Shopfitter"/>
    <x v="2"/>
    <s v="28/04/2025"/>
    <s v="29/04/2028"/>
    <s v="TDK"/>
    <n v="5136"/>
  </r>
  <r>
    <s v="Sipho Skosana"/>
    <x v="7"/>
    <s v="Supervisor - Tiling"/>
    <x v="2"/>
    <s v="28/04/2025"/>
    <s v="29/04/2028"/>
    <s v="TDK"/>
    <n v="5143"/>
  </r>
  <r>
    <s v="Zaide Hendricks"/>
    <x v="8"/>
    <s v="Workshop Manager"/>
    <x v="2"/>
    <s v="28/04/2025"/>
    <s v="29/04/2028"/>
    <s v="TDK"/>
    <n v="5135"/>
  </r>
  <r>
    <s v="Siphiwe Mashiteng"/>
    <x v="9"/>
    <s v="General Labour"/>
    <x v="2"/>
    <s v="28/04/2025"/>
    <s v="29/04/2028"/>
    <s v="TDK"/>
    <n v="5144"/>
  </r>
  <r>
    <s v="Blondy Malepe"/>
    <x v="0"/>
    <s v="Supervisor - Painters"/>
    <x v="3"/>
    <s v="30/04/2025"/>
    <s v="30/04/2027"/>
    <s v="TDK"/>
    <n v="5110"/>
  </r>
  <r>
    <s v="Danger Mawalela"/>
    <x v="1"/>
    <s v="Supervisor - Labourers"/>
    <x v="3"/>
    <s v="30/04/2025"/>
    <s v="30/04/2027"/>
    <s v="TDK"/>
    <n v="5109"/>
  </r>
  <r>
    <s v="Daniel Mclaglin"/>
    <x v="2"/>
    <s v="Supervisor - Shopfitters"/>
    <x v="3"/>
    <s v="30/04/2025"/>
    <s v="30/04/2027"/>
    <s v="TDK"/>
    <n v="5188"/>
  </r>
  <r>
    <s v="Jack Moichelo"/>
    <x v="3"/>
    <s v="Builder"/>
    <x v="3"/>
    <s v="30/04/2025"/>
    <s v="30/04/2027"/>
    <s v="TDK"/>
    <n v="5112"/>
  </r>
  <r>
    <s v="Johannes Mthombeni"/>
    <x v="4"/>
    <s v="Builder"/>
    <x v="3"/>
    <s v="30/04/2025"/>
    <s v="30/04/2027"/>
    <s v="TDK"/>
    <n v="5113"/>
  </r>
  <r>
    <s v="Lorenz Terblance"/>
    <x v="5"/>
    <s v="Site Manager"/>
    <x v="3"/>
    <s v="30/04/2025"/>
    <s v="30/04/2027"/>
    <s v="TDK"/>
    <n v="5111"/>
  </r>
  <r>
    <s v="Maeca Mahlangu"/>
    <x v="6"/>
    <s v="Plasterer"/>
    <x v="3"/>
    <s v="30/04/2025"/>
    <s v="30/04/2027"/>
    <s v="TDK"/>
    <n v="5114"/>
  </r>
  <r>
    <s v="Ndikho Sokhudela"/>
    <x v="7"/>
    <s v="Plasterer"/>
    <x v="3"/>
    <s v="30/04/2025"/>
    <s v="30/04/2027"/>
    <s v="TDK"/>
    <n v="5115"/>
  </r>
  <r>
    <s v="Purchwell February"/>
    <x v="8"/>
    <s v="Shopfitter"/>
    <x v="3"/>
    <s v="30/04/2025"/>
    <s v="30/04/2027"/>
    <s v="TDK"/>
    <n v="5116"/>
  </r>
  <r>
    <s v="Siphiwe Mashiteng"/>
    <x v="9"/>
    <s v="General Labour"/>
    <x v="3"/>
    <s v="30/04/2025"/>
    <s v="30/04/2027"/>
    <s v="TDK"/>
    <n v="5117"/>
  </r>
  <r>
    <s v="Blondy Malepe"/>
    <x v="0"/>
    <s v="Supervisor - Painters"/>
    <x v="4"/>
    <s v="30/04/2025"/>
    <s v="30/04/2027"/>
    <s v="TDK"/>
    <n v="5128"/>
  </r>
  <r>
    <s v="Danger Mawalela"/>
    <x v="1"/>
    <s v="Supervisor - Labourers"/>
    <x v="4"/>
    <s v="30/04/2025"/>
    <s v="30/04/2027"/>
    <s v="TDK"/>
    <n v="5129"/>
  </r>
  <r>
    <s v="Daniel Mclaglin"/>
    <x v="2"/>
    <s v="Supervisor - Shopfitters"/>
    <x v="4"/>
    <s v="30/04/2025"/>
    <s v="30/04/2027"/>
    <s v="TDK"/>
    <n v="5120"/>
  </r>
  <r>
    <s v="Jack Moichelo"/>
    <x v="3"/>
    <s v="Builder"/>
    <x v="4"/>
    <s v="30/04/2025"/>
    <s v="30/04/2027"/>
    <s v="TDK"/>
    <n v="5126"/>
  </r>
  <r>
    <s v="Johannes Mthombeni"/>
    <x v="4"/>
    <s v="Builder"/>
    <x v="4"/>
    <s v="30/04/2025"/>
    <s v="30/04/2027"/>
    <s v="TDK"/>
    <n v="5125"/>
  </r>
  <r>
    <s v="Lorenz Terblance"/>
    <x v="5"/>
    <s v="Site Manager"/>
    <x v="4"/>
    <s v="30/04/2025"/>
    <s v="30/04/2027"/>
    <s v="TDK"/>
    <n v="5127"/>
  </r>
  <r>
    <s v="Maeca Mahlangu"/>
    <x v="6"/>
    <s v="Plasterer"/>
    <x v="4"/>
    <s v="30/04/2025"/>
    <s v="30/04/2027"/>
    <s v="TDK"/>
    <n v="5124"/>
  </r>
  <r>
    <s v="Ndikho Sokhudela"/>
    <x v="7"/>
    <s v="Plasterer"/>
    <x v="4"/>
    <s v="30/04/2025"/>
    <s v="30/04/2027"/>
    <s v="TDK"/>
    <n v="5123"/>
  </r>
  <r>
    <s v="Purchwell February"/>
    <x v="8"/>
    <s v="Shopfitter"/>
    <x v="4"/>
    <s v="30/04/2025"/>
    <s v="30/04/2027"/>
    <s v="TDK"/>
    <n v="5122"/>
  </r>
  <r>
    <s v="Siphiwe Mashiteng"/>
    <x v="9"/>
    <s v="General Labour"/>
    <x v="4"/>
    <s v="30/04/2025"/>
    <s v="30/04/2027"/>
    <s v="TDK"/>
    <n v="5121"/>
  </r>
  <r>
    <s v="Caiphus Sithuga"/>
    <x v="0"/>
    <s v="Site Manager"/>
    <x v="5"/>
    <s v="09/05/2025"/>
    <s v="09/05/2027"/>
    <s v="TDK"/>
    <s v="TBA"/>
  </r>
  <r>
    <s v="Danger Mawalela"/>
    <x v="1"/>
    <s v="Supervisor - Labourers"/>
    <x v="5"/>
    <s v="09/05/2025"/>
    <s v="09/05/2027"/>
    <s v="TDK"/>
    <s v="TBA"/>
  </r>
  <r>
    <s v="Dumisani Masango"/>
    <x v="2"/>
    <s v="Supervisor - Maintenance"/>
    <x v="5"/>
    <s v="09/05/2025"/>
    <s v="09/05/2027"/>
    <s v="TDK"/>
    <s v="TBA"/>
  </r>
  <r>
    <s v="Gibbs Masete"/>
    <x v="3"/>
    <s v="Supervisor - Builders"/>
    <x v="5"/>
    <s v="09/05/2025"/>
    <s v="09/05/2027"/>
    <s v="TDK"/>
    <s v="TBA"/>
  </r>
  <r>
    <s v="Johannes Masilela"/>
    <x v="4"/>
    <s v="Site Manager"/>
    <x v="5"/>
    <s v="09/05/2025"/>
    <s v="09/05/2027"/>
    <s v="TDK"/>
    <s v="TBA"/>
  </r>
  <r>
    <s v="Ronnie Mabuza"/>
    <x v="5"/>
    <s v="Site Manager"/>
    <x v="5"/>
    <s v="09/05/2025"/>
    <s v="09/05/2027"/>
    <s v="TDK"/>
    <s v="TBA"/>
  </r>
  <r>
    <s v="Zama Ngidi"/>
    <x v="6"/>
    <s v="Site Manager"/>
    <x v="5"/>
    <s v="09/05/2025"/>
    <s v="09/05/2027"/>
    <s v="TDK"/>
    <s v="TBA"/>
  </r>
  <r>
    <s v="Norman Mphotu"/>
    <x v="0"/>
    <s v="Site Manager"/>
    <x v="6"/>
    <s v="13/05/2025"/>
    <s v="13/05/2027"/>
    <s v="TDK"/>
    <s v="TBA"/>
  </r>
  <r>
    <s v="Norman Mphotu"/>
    <x v="1"/>
    <s v="Site Manager"/>
    <x v="7"/>
    <s v="12/05/2025"/>
    <s v="12/05/2027"/>
    <s v="TDK"/>
    <s v="TBA"/>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0"/>
    <n v="0"/>
    <m/>
    <s v="none"/>
    <s v="Complete"/>
    <s v="Anthia Coetzee"/>
  </r>
  <r>
    <x v="1"/>
    <x v="1"/>
    <n v="0"/>
    <n v="0"/>
    <m/>
    <s v="none"/>
    <s v="Complete"/>
    <s v="Anthia Coetzee"/>
  </r>
  <r>
    <x v="2"/>
    <x v="2"/>
    <n v="0"/>
    <n v="0"/>
    <m/>
    <s v="none"/>
    <s v="Complete"/>
    <s v="Anthia Coetzee"/>
  </r>
  <r>
    <x v="3"/>
    <x v="3"/>
    <n v="0"/>
    <n v="0"/>
    <m/>
    <s v="none"/>
    <s v="Complete"/>
    <s v="Anthia Coetze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3C05E-728C-4FC3-B3E2-182F691DAB97}" name="PivotTable32"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0" firstDataRow="1" firstDataCol="1"/>
  <pivotFields count="8">
    <pivotField axis="axisRow" showAll="0" sortType="ascending" defaultSubtotal="0">
      <items count="4">
        <item x="2"/>
        <item x="3"/>
        <item x="1"/>
        <item x="0"/>
      </items>
    </pivotField>
    <pivotField dataField="1" showAll="0">
      <items count="5">
        <item x="0"/>
        <item x="3"/>
        <item x="1"/>
        <item x="2"/>
        <item t="default"/>
      </items>
    </pivotField>
    <pivotField dataField="1" showAll="0"/>
    <pivotField dataField="1" showAll="0"/>
    <pivotField showAll="0"/>
    <pivotField showAll="0"/>
    <pivotField showAll="0"/>
    <pivotField showAll="0"/>
  </pivotFields>
  <rowFields count="1">
    <field x="0"/>
  </rowFields>
  <rowItems count="5">
    <i>
      <x/>
    </i>
    <i>
      <x v="1"/>
    </i>
    <i>
      <x v="2"/>
    </i>
    <i>
      <x v="3"/>
    </i>
    <i t="grand">
      <x/>
    </i>
  </rowItems>
  <colFields count="1">
    <field x="-2"/>
  </colFields>
  <colItems count="3">
    <i>
      <x/>
    </i>
    <i i="1">
      <x v="1"/>
    </i>
    <i i="2">
      <x v="2"/>
    </i>
  </colItems>
  <dataFields count="3">
    <dataField name="Sum of Safe work hours " fld="1" baseField="0" baseItem="0"/>
    <dataField name="Sum of Incident reported" fld="2" baseField="0" baseItem="0"/>
    <dataField name="Sum of Near misses "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281FBB-B6D7-4636-AA51-6FECC051B650}" name="PivotTable28" cacheId="3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9">
    <pivotField numFmtId="14" showAll="0"/>
    <pivotField axis="axisRow" showAll="0">
      <items count="8">
        <item x="3"/>
        <item x="1"/>
        <item x="0"/>
        <item x="4"/>
        <item x="2"/>
        <item x="5"/>
        <item x="6"/>
        <item t="default"/>
      </items>
    </pivotField>
    <pivotField showAll="0"/>
    <pivotField showAll="0"/>
    <pivotField showAll="0"/>
    <pivotField showAll="0"/>
    <pivotField dataField="1" showAll="0"/>
    <pivotField numFmtId="9" showAll="0"/>
    <pivotField numFmtId="9" showAll="0"/>
  </pivotFields>
  <rowFields count="1">
    <field x="1"/>
  </rowFields>
  <rowItems count="8">
    <i>
      <x/>
    </i>
    <i>
      <x v="1"/>
    </i>
    <i>
      <x v="2"/>
    </i>
    <i>
      <x v="3"/>
    </i>
    <i>
      <x v="4"/>
    </i>
    <i>
      <x v="5"/>
    </i>
    <i>
      <x v="6"/>
    </i>
    <i t="grand">
      <x/>
    </i>
  </rowItems>
  <colItems count="1">
    <i/>
  </colItems>
  <dataFields count="1">
    <dataField name="Count of AUDIT # "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DE86D-E2D2-4A17-A7D9-A70999F3BED4}" name="PivotTable22" cacheId="3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3">
    <pivotField showAll="0"/>
    <pivotField showAll="0"/>
    <pivotField axis="axisRow" showAll="0">
      <items count="7">
        <item x="3"/>
        <item x="1"/>
        <item x="0"/>
        <item x="5"/>
        <item x="2"/>
        <item x="4"/>
        <item t="default"/>
      </items>
    </pivotField>
    <pivotField showAll="0"/>
    <pivotField dataField="1" showAll="0"/>
    <pivotField dataField="1" numFmtId="9" showAll="0"/>
    <pivotField showAll="0"/>
    <pivotField showAll="0"/>
    <pivotField showAll="0"/>
    <pivotField showAll="0"/>
    <pivotField numFmtId="16" showAll="0">
      <items count="10">
        <item x="1"/>
        <item x="2"/>
        <item x="3"/>
        <item x="6"/>
        <item x="4"/>
        <item x="5"/>
        <item x="8"/>
        <item x="7"/>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x="2"/>
        <item x="3"/>
        <item x="4"/>
        <item x="5"/>
        <item sd="0" x="6"/>
        <item sd="0" x="7"/>
        <item sd="0" x="8"/>
        <item sd="0" x="9"/>
        <item sd="0" x="10"/>
        <item sd="0" x="11"/>
        <item x="12"/>
        <item sd="0" x="13"/>
        <item t="default" sd="0"/>
      </items>
    </pivotField>
  </pivotFields>
  <rowFields count="1">
    <field x="2"/>
  </rowFields>
  <rowItems count="7">
    <i>
      <x/>
    </i>
    <i>
      <x v="1"/>
    </i>
    <i>
      <x v="2"/>
    </i>
    <i>
      <x v="3"/>
    </i>
    <i>
      <x v="4"/>
    </i>
    <i>
      <x v="5"/>
    </i>
    <i t="grand">
      <x/>
    </i>
  </rowItems>
  <colFields count="1">
    <field x="-2"/>
  </colFields>
  <colItems count="2">
    <i>
      <x/>
    </i>
    <i i="1">
      <x v="1"/>
    </i>
  </colItems>
  <dataFields count="2">
    <dataField name="Average of AUDIT SCORE" fld="4" subtotal="average" baseField="0" baseItem="0"/>
    <dataField name="Average of TARGET" fld="5" subtotal="average" baseField="0" baseItem="0" numFmtId="9"/>
  </dataFields>
  <formats count="2">
    <format dxfId="15">
      <pivotArea outline="0" collapsedLevelsAreSubtotals="1" fieldPosition="0"/>
    </format>
    <format dxfId="16">
      <pivotArea dataOnly="0" labelOnly="1" outline="0" axis="axisValues" fieldPosition="0"/>
    </format>
  </formats>
  <chartFormats count="4">
    <chartFormat chart="5" format="5"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D9D69-B5FA-41BB-B301-726FC85DB452}" name="PivotTable25" cacheId="3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1">
    <pivotField showAll="0"/>
    <pivotField showAll="0"/>
    <pivotField showAll="0"/>
    <pivotField showAll="0"/>
    <pivotField numFmtId="9" showAll="0"/>
    <pivotField showAll="0"/>
    <pivotField dataField="1" showAll="0"/>
    <pivotField axis="axisRow" showAll="0">
      <items count="9">
        <item x="0"/>
        <item x="1"/>
        <item x="6"/>
        <item x="2"/>
        <item x="4"/>
        <item x="7"/>
        <item x="5"/>
        <item x="3"/>
        <item t="default"/>
      </items>
    </pivotField>
    <pivotField showAll="0"/>
    <pivotField showAll="0"/>
    <pivotField numFmtId="16" showAll="0"/>
  </pivotFields>
  <rowFields count="1">
    <field x="7"/>
  </rowFields>
  <rowItems count="9">
    <i>
      <x/>
    </i>
    <i>
      <x v="1"/>
    </i>
    <i>
      <x v="2"/>
    </i>
    <i>
      <x v="3"/>
    </i>
    <i>
      <x v="4"/>
    </i>
    <i>
      <x v="5"/>
    </i>
    <i>
      <x v="6"/>
    </i>
    <i>
      <x v="7"/>
    </i>
    <i t="grand">
      <x/>
    </i>
  </rowItems>
  <colItems count="1">
    <i/>
  </colItems>
  <dataFields count="1">
    <dataField name="Count of Column1" fld="6"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3"/>
          </reference>
        </references>
      </pivotArea>
    </chartFormat>
    <chartFormat chart="3" format="15">
      <pivotArea type="data" outline="0" fieldPosition="0">
        <references count="2">
          <reference field="4294967294" count="1" selected="0">
            <x v="0"/>
          </reference>
          <reference field="7" count="1" selected="0">
            <x v="4"/>
          </reference>
        </references>
      </pivotArea>
    </chartFormat>
    <chartFormat chart="3" format="16">
      <pivotArea type="data" outline="0" fieldPosition="0">
        <references count="2">
          <reference field="4294967294" count="1" selected="0">
            <x v="0"/>
          </reference>
          <reference field="7" count="1" selected="0">
            <x v="5"/>
          </reference>
        </references>
      </pivotArea>
    </chartFormat>
    <chartFormat chart="3" format="17">
      <pivotArea type="data" outline="0" fieldPosition="0">
        <references count="2">
          <reference field="4294967294" count="1" selected="0">
            <x v="0"/>
          </reference>
          <reference field="7" count="1" selected="0">
            <x v="6"/>
          </reference>
        </references>
      </pivotArea>
    </chartFormat>
    <chartFormat chart="3" format="1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C2A2F1-D319-4EA7-84F3-8BF0761427F1}" name="PivotTable27" cacheId="3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1">
    <pivotField showAll="0"/>
    <pivotField dataField="1" showAll="0"/>
    <pivotField axis="axisRow" showAll="0">
      <items count="7">
        <item sd="0" x="3"/>
        <item sd="0" x="1"/>
        <item sd="0" x="0"/>
        <item sd="0" x="5"/>
        <item sd="0" x="2"/>
        <item sd="0" x="4"/>
        <item t="default" sd="0"/>
      </items>
    </pivotField>
    <pivotField showAll="0"/>
    <pivotField numFmtId="9" showAll="0"/>
    <pivotField numFmtId="9" showAll="0"/>
    <pivotField showAll="0"/>
    <pivotField showAll="0"/>
    <pivotField axis="axisRow" showAll="0">
      <items count="20">
        <item x="8"/>
        <item x="16"/>
        <item x="3"/>
        <item x="0"/>
        <item x="15"/>
        <item x="11"/>
        <item x="4"/>
        <item x="7"/>
        <item x="6"/>
        <item x="5"/>
        <item x="9"/>
        <item x="17"/>
        <item x="14"/>
        <item x="13"/>
        <item x="1"/>
        <item x="18"/>
        <item x="12"/>
        <item x="2"/>
        <item x="10"/>
        <item t="default"/>
      </items>
    </pivotField>
    <pivotField showAll="0"/>
    <pivotField numFmtId="16" showAll="0"/>
  </pivotFields>
  <rowFields count="2">
    <field x="2"/>
    <field x="8"/>
  </rowFields>
  <rowItems count="7">
    <i>
      <x/>
    </i>
    <i>
      <x v="1"/>
    </i>
    <i>
      <x v="2"/>
    </i>
    <i>
      <x v="3"/>
    </i>
    <i>
      <x v="4"/>
    </i>
    <i>
      <x v="5"/>
    </i>
    <i t="grand">
      <x/>
    </i>
  </rowItems>
  <colItems count="1">
    <i/>
  </colItems>
  <dataFields count="1">
    <dataField name="Count of #"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9D849D-2FD1-4BD2-81EF-488BB03D401F}" name="PivotTable33"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2025 - Training comlpleted">
  <location ref="A3:B12" firstHeaderRow="1" firstDataRow="1" firstDataCol="1"/>
  <pivotFields count="8">
    <pivotField showAll="0"/>
    <pivotField dataField="1" showAll="0">
      <items count="18">
        <item h="1" x="0"/>
        <item h="1" x="1"/>
        <item h="1" x="2"/>
        <item h="1" x="3"/>
        <item h="1" x="4"/>
        <item h="1" x="5"/>
        <item h="1" x="6"/>
        <item h="1" x="7"/>
        <item x="8"/>
        <item h="1" x="9"/>
        <item h="1" x="10"/>
        <item h="1" x="11"/>
        <item h="1" x="12"/>
        <item h="1" x="13"/>
        <item h="1" x="14"/>
        <item h="1" x="15"/>
        <item h="1" x="16"/>
        <item t="default"/>
      </items>
    </pivotField>
    <pivotField showAll="0"/>
    <pivotField axis="axisRow" showAll="0">
      <items count="9">
        <item x="6"/>
        <item x="0"/>
        <item x="1"/>
        <item x="5"/>
        <item x="2"/>
        <item x="7"/>
        <item x="3"/>
        <item x="4"/>
        <item t="default"/>
      </items>
    </pivotField>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fe_work_hours" xr10:uid="{0ECE0E84-02D2-44B5-A859-25DB17B2EF3D}" sourceName="Safe work hours ">
  <pivotTables>
    <pivotTable tabId="17" name="PivotTable32"/>
  </pivotTables>
  <data>
    <tabular pivotCacheId="668944346">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ACFCA27-A50A-4D06-B3BB-A149CB651193}" sourceName="Month">
  <pivotTables>
    <pivotTable tabId="17" name="PivotTable32"/>
  </pivotTables>
  <data>
    <tabular pivotCacheId="66894434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fe work hours " xr10:uid="{2E12E3B7-8108-41EB-9573-E478714B1AB6}" cache="Slicer_Safe_work_hours" caption="Safe work hours " rowHeight="234950"/>
  <slicer name="2025 SAFE WORKING HOURS" xr10:uid="{40EB85FC-1CD7-4500-BB3F-EB09AB15D381}"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cident_Reporting" displayName="Incident_Reporting" ref="A1:H5">
  <autoFilter ref="A1:H5" xr:uid="{00000000-0009-0000-0100-000001000000}"/>
  <tableColumns count="8">
    <tableColumn id="2" xr3:uid="{00000000-0010-0000-0000-000002000000}" name="Month"/>
    <tableColumn id="3" xr3:uid="{00000000-0010-0000-0000-000003000000}" name="Safe work hours "/>
    <tableColumn id="4" xr3:uid="{00000000-0010-0000-0000-000004000000}" name="Incident reported"/>
    <tableColumn id="5" xr3:uid="{00000000-0010-0000-0000-000005000000}" name="Near misses "/>
    <tableColumn id="6" xr3:uid="{00000000-0010-0000-0000-000006000000}" name="Root Cause"/>
    <tableColumn id="7" xr3:uid="{00000000-0010-0000-0000-000007000000}" name="Corrective Actions"/>
    <tableColumn id="8" xr3:uid="{00000000-0010-0000-0000-000008000000}" name="Status"/>
    <tableColumn id="9" xr3:uid="{00000000-0010-0000-0000-000009000000}" name="Reported B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DD0A92-5210-4AA1-8A7A-D9CE797F22D5}" name="Audit___Inspection5" displayName="Audit___Inspection5" ref="A1:K20" headerRowDxfId="14" dataDxfId="13" totalsRowDxfId="12">
  <autoFilter ref="A1:K20" xr:uid="{8ADD0A92-5210-4AA1-8A7A-D9CE797F22D5}"/>
  <tableColumns count="11">
    <tableColumn id="1" xr3:uid="{6926F052-2404-41DF-943A-D8AE642B73CF}" name="DATE" dataDxfId="11"/>
    <tableColumn id="2" xr3:uid="{D5188B3F-5DC9-4AAD-99EC-E164F4E4653F}" name="SITE NAME" dataDxfId="10"/>
    <tableColumn id="3" xr3:uid="{F95D40FC-59BC-4D8C-A49E-A18A9D9988FC}" name="AUDITOR" dataDxfId="9"/>
    <tableColumn id="9" xr3:uid="{6964254C-E86A-45DE-A99E-96759FCB8F8F}" name="AUDIT SCORE" dataDxfId="8"/>
    <tableColumn id="10" xr3:uid="{CF6574B3-7114-422E-A61F-87324602A48C}" name="TARGET" dataDxfId="7"/>
    <tableColumn id="4" xr3:uid="{4A448299-80B5-44CD-BFCB-C345B22B64C0}" name="FINDINGS" dataDxfId="6"/>
    <tableColumn id="11" xr3:uid="{18689526-DB89-4FFF-9B96-EEFEB6D68F3D}" name="Column1" dataDxfId="1"/>
    <tableColumn id="5" xr3:uid="{5E98D955-1BA7-4C15-9F1A-403098ECA9C3}" name="NON-CONFORMANCE" dataDxfId="5"/>
    <tableColumn id="6" xr3:uid="{2EE274E8-2E9D-4834-97EB-F127B3EAC5D8}" name="IMMEDIATE ACTION" dataDxfId="4"/>
    <tableColumn id="7" xr3:uid="{1FEA7F6A-90AA-45E8-90CA-12783BB893E4}" name="STATUS" dataDxfId="3"/>
    <tableColumn id="8" xr3:uid="{E902F33E-3485-4247-9935-332C8B7AF01F}" name="CLOSE OUT DATE"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udit_&amp;_Inspection" displayName="Audit___Inspection" ref="A1:K21" headerRowDxfId="19" dataDxfId="17" totalsRowDxfId="18">
  <autoFilter ref="A1:K21" xr:uid="{00000000-0009-0000-0100-000002000000}"/>
  <tableColumns count="11">
    <tableColumn id="1" xr3:uid="{00000000-0010-0000-0100-000001000000}" name="DATE" dataDxfId="29"/>
    <tableColumn id="11" xr3:uid="{B1028DA5-AB1E-4680-AEAF-9357573DC091}" name="#" dataDxfId="0"/>
    <tableColumn id="2" xr3:uid="{00000000-0010-0000-0100-000002000000}" name="SITE NAME" dataDxfId="28"/>
    <tableColumn id="3" xr3:uid="{00000000-0010-0000-0100-000003000000}" name="AUDITOR" dataDxfId="27"/>
    <tableColumn id="9" xr3:uid="{A23199C2-9EC8-434C-97D6-501AACAD2668}" name="AUDIT SCORE" dataDxfId="26"/>
    <tableColumn id="10" xr3:uid="{0FEB9E96-EA8E-4CDC-B8A3-E8325A49D5BA}" name="TARGET" dataDxfId="25"/>
    <tableColumn id="4" xr3:uid="{00000000-0010-0000-0100-000004000000}" name="FINDINGS" dataDxfId="24"/>
    <tableColumn id="5" xr3:uid="{00000000-0010-0000-0100-000005000000}" name="NON-CONFORMANCE" dataDxfId="23"/>
    <tableColumn id="6" xr3:uid="{00000000-0010-0000-0100-000006000000}" name="IMMEDIATE ACTION" dataDxfId="22"/>
    <tableColumn id="7" xr3:uid="{00000000-0010-0000-0100-000007000000}" name="STATUS" dataDxfId="21"/>
    <tableColumn id="8" xr3:uid="{00000000-0010-0000-0100-000008000000}" name="CLOSE OUT DATE"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ining_Records" displayName="Training_Records" ref="A1:H64">
  <autoFilter ref="A1:H64" xr:uid="{00000000-0009-0000-0100-000003000000}"/>
  <tableColumns count="8">
    <tableColumn id="1" xr3:uid="{00000000-0010-0000-0200-000001000000}" name="Employee Name"/>
    <tableColumn id="9" xr3:uid="{64888EBC-D620-4D6F-A04F-EFA654AB0ECF}" name="#"/>
    <tableColumn id="2" xr3:uid="{00000000-0010-0000-0200-000002000000}" name="Role"/>
    <tableColumn id="3" xr3:uid="{00000000-0010-0000-0200-000003000000}" name="Training Topic"/>
    <tableColumn id="4" xr3:uid="{00000000-0010-0000-0200-000004000000}" name="Date Completed"/>
    <tableColumn id="5" xr3:uid="{00000000-0010-0000-0200-000005000000}" name="Valid Until"/>
    <tableColumn id="6" xr3:uid="{00000000-0010-0000-0200-000006000000}" name="Trainer"/>
    <tableColumn id="7" xr3:uid="{00000000-0010-0000-0200-000007000000}" name="Certificat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1C9F-D8C6-4F1A-B5A3-5795DD2B00D6}">
  <dimension ref="A1:R30"/>
  <sheetViews>
    <sheetView tabSelected="1" zoomScale="70" zoomScaleNormal="70" workbookViewId="0">
      <selection activeCell="AA21" sqref="AA21"/>
    </sheetView>
  </sheetViews>
  <sheetFormatPr defaultRowHeight="13.8" x14ac:dyDescent="0.25"/>
  <sheetData>
    <row r="1" spans="1:18" x14ac:dyDescent="0.25">
      <c r="A1" s="23"/>
      <c r="B1" s="24"/>
      <c r="C1" s="24"/>
      <c r="D1" s="24"/>
      <c r="E1" s="24"/>
      <c r="F1" s="24"/>
      <c r="G1" s="24"/>
      <c r="H1" s="24"/>
      <c r="I1" s="24"/>
      <c r="J1" s="24"/>
      <c r="K1" s="24"/>
      <c r="L1" s="24"/>
      <c r="M1" s="24"/>
      <c r="N1" s="24"/>
      <c r="O1" s="24"/>
      <c r="P1" s="24"/>
      <c r="Q1" s="24"/>
      <c r="R1" s="25"/>
    </row>
    <row r="2" spans="1:18" x14ac:dyDescent="0.25">
      <c r="A2" s="26"/>
      <c r="B2" s="27"/>
      <c r="C2" s="27"/>
      <c r="D2" s="27"/>
      <c r="E2" s="27"/>
      <c r="F2" s="27"/>
      <c r="G2" s="27"/>
      <c r="H2" s="27"/>
      <c r="I2" s="27"/>
      <c r="J2" s="27"/>
      <c r="K2" s="27"/>
      <c r="L2" s="27"/>
      <c r="M2" s="27"/>
      <c r="N2" s="27"/>
      <c r="O2" s="27"/>
      <c r="P2" s="27"/>
      <c r="Q2" s="27"/>
      <c r="R2" s="28"/>
    </row>
    <row r="3" spans="1:18" x14ac:dyDescent="0.25">
      <c r="A3" s="26"/>
      <c r="B3" s="27"/>
      <c r="C3" s="27"/>
      <c r="D3" s="27"/>
      <c r="E3" s="27"/>
      <c r="F3" s="27"/>
      <c r="G3" s="27"/>
      <c r="H3" s="27"/>
      <c r="I3" s="27"/>
      <c r="J3" s="27"/>
      <c r="K3" s="27"/>
      <c r="L3" s="27"/>
      <c r="M3" s="27"/>
      <c r="N3" s="27"/>
      <c r="O3" s="27"/>
      <c r="P3" s="27"/>
      <c r="Q3" s="27"/>
      <c r="R3" s="28"/>
    </row>
    <row r="4" spans="1:18" x14ac:dyDescent="0.25">
      <c r="A4" s="26"/>
      <c r="B4" s="27"/>
      <c r="C4" s="27"/>
      <c r="D4" s="27"/>
      <c r="E4" s="27"/>
      <c r="F4" s="27"/>
      <c r="G4" s="27"/>
      <c r="H4" s="27"/>
      <c r="I4" s="27"/>
      <c r="J4" s="27"/>
      <c r="K4" s="27"/>
      <c r="L4" s="27"/>
      <c r="M4" s="27"/>
      <c r="N4" s="27"/>
      <c r="O4" s="27"/>
      <c r="P4" s="27"/>
      <c r="Q4" s="27"/>
      <c r="R4" s="28"/>
    </row>
    <row r="5" spans="1:18" x14ac:dyDescent="0.25">
      <c r="A5" s="26"/>
      <c r="B5" s="27"/>
      <c r="C5" s="27"/>
      <c r="D5" s="27"/>
      <c r="E5" s="27"/>
      <c r="F5" s="27"/>
      <c r="G5" s="27"/>
      <c r="H5" s="27"/>
      <c r="I5" s="27"/>
      <c r="J5" s="27"/>
      <c r="K5" s="27"/>
      <c r="L5" s="27"/>
      <c r="M5" s="27"/>
      <c r="N5" s="27"/>
      <c r="O5" s="27"/>
      <c r="P5" s="27"/>
      <c r="Q5" s="27"/>
      <c r="R5" s="28"/>
    </row>
    <row r="6" spans="1:18" x14ac:dyDescent="0.25">
      <c r="A6" s="26"/>
      <c r="B6" s="27"/>
      <c r="C6" s="27"/>
      <c r="D6" s="27"/>
      <c r="E6" s="27"/>
      <c r="F6" s="27"/>
      <c r="G6" s="27"/>
      <c r="H6" s="27"/>
      <c r="I6" s="27"/>
      <c r="J6" s="27"/>
      <c r="K6" s="27"/>
      <c r="L6" s="27"/>
      <c r="M6" s="27"/>
      <c r="N6" s="27"/>
      <c r="O6" s="27"/>
      <c r="P6" s="27"/>
      <c r="Q6" s="27"/>
      <c r="R6" s="28"/>
    </row>
    <row r="7" spans="1:18" x14ac:dyDescent="0.25">
      <c r="A7" s="26"/>
      <c r="B7" s="27"/>
      <c r="C7" s="27"/>
      <c r="D7" s="27"/>
      <c r="E7" s="27"/>
      <c r="F7" s="27"/>
      <c r="G7" s="27"/>
      <c r="H7" s="27"/>
      <c r="I7" s="27"/>
      <c r="J7" s="27"/>
      <c r="K7" s="27"/>
      <c r="L7" s="27"/>
      <c r="M7" s="27"/>
      <c r="N7" s="27"/>
      <c r="O7" s="27"/>
      <c r="P7" s="27"/>
      <c r="Q7" s="27"/>
      <c r="R7" s="28"/>
    </row>
    <row r="8" spans="1:18" x14ac:dyDescent="0.25">
      <c r="A8" s="26"/>
      <c r="B8" s="27"/>
      <c r="C8" s="27"/>
      <c r="D8" s="27"/>
      <c r="E8" s="27"/>
      <c r="F8" s="27"/>
      <c r="G8" s="27"/>
      <c r="H8" s="27"/>
      <c r="I8" s="27"/>
      <c r="J8" s="27"/>
      <c r="K8" s="27"/>
      <c r="L8" s="27"/>
      <c r="M8" s="27"/>
      <c r="N8" s="27"/>
      <c r="O8" s="27"/>
      <c r="P8" s="27"/>
      <c r="Q8" s="27"/>
      <c r="R8" s="28"/>
    </row>
    <row r="9" spans="1:18" x14ac:dyDescent="0.25">
      <c r="A9" s="26"/>
      <c r="B9" s="27"/>
      <c r="C9" s="27"/>
      <c r="D9" s="27"/>
      <c r="E9" s="27"/>
      <c r="F9" s="27"/>
      <c r="G9" s="27"/>
      <c r="H9" s="27"/>
      <c r="I9" s="27"/>
      <c r="J9" s="27"/>
      <c r="K9" s="27"/>
      <c r="L9" s="27"/>
      <c r="M9" s="27"/>
      <c r="N9" s="27"/>
      <c r="O9" s="27"/>
      <c r="P9" s="27"/>
      <c r="Q9" s="27"/>
      <c r="R9" s="28"/>
    </row>
    <row r="10" spans="1:18" x14ac:dyDescent="0.25">
      <c r="A10" s="26"/>
      <c r="B10" s="27"/>
      <c r="C10" s="27"/>
      <c r="D10" s="27"/>
      <c r="E10" s="27"/>
      <c r="F10" s="27"/>
      <c r="G10" s="27"/>
      <c r="H10" s="27"/>
      <c r="I10" s="27"/>
      <c r="J10" s="27"/>
      <c r="K10" s="27"/>
      <c r="L10" s="27"/>
      <c r="M10" s="27"/>
      <c r="N10" s="27"/>
      <c r="O10" s="27"/>
      <c r="P10" s="27"/>
      <c r="Q10" s="27"/>
      <c r="R10" s="28"/>
    </row>
    <row r="11" spans="1:18" x14ac:dyDescent="0.25">
      <c r="A11" s="26"/>
      <c r="B11" s="27"/>
      <c r="C11" s="27"/>
      <c r="D11" s="27"/>
      <c r="E11" s="27"/>
      <c r="F11" s="27"/>
      <c r="G11" s="27"/>
      <c r="H11" s="27"/>
      <c r="I11" s="27"/>
      <c r="J11" s="27"/>
      <c r="K11" s="27"/>
      <c r="L11" s="27"/>
      <c r="M11" s="27"/>
      <c r="N11" s="27"/>
      <c r="O11" s="27"/>
      <c r="P11" s="27"/>
      <c r="Q11" s="27"/>
      <c r="R11" s="28"/>
    </row>
    <row r="12" spans="1:18" x14ac:dyDescent="0.25">
      <c r="A12" s="26"/>
      <c r="B12" s="27"/>
      <c r="C12" s="27"/>
      <c r="D12" s="27"/>
      <c r="E12" s="27"/>
      <c r="F12" s="27"/>
      <c r="G12" s="27"/>
      <c r="H12" s="27"/>
      <c r="I12" s="27"/>
      <c r="J12" s="27"/>
      <c r="K12" s="27"/>
      <c r="L12" s="27"/>
      <c r="M12" s="27"/>
      <c r="N12" s="27"/>
      <c r="O12" s="27"/>
      <c r="P12" s="27"/>
      <c r="Q12" s="27"/>
      <c r="R12" s="28"/>
    </row>
    <row r="13" spans="1:18" x14ac:dyDescent="0.25">
      <c r="A13" s="26"/>
      <c r="B13" s="27"/>
      <c r="C13" s="27"/>
      <c r="D13" s="27"/>
      <c r="E13" s="27"/>
      <c r="F13" s="27"/>
      <c r="G13" s="27"/>
      <c r="H13" s="27"/>
      <c r="I13" s="27"/>
      <c r="J13" s="27"/>
      <c r="K13" s="27"/>
      <c r="L13" s="27"/>
      <c r="M13" s="27"/>
      <c r="N13" s="27"/>
      <c r="O13" s="27"/>
      <c r="P13" s="27"/>
      <c r="Q13" s="27"/>
      <c r="R13" s="28"/>
    </row>
    <row r="14" spans="1:18" x14ac:dyDescent="0.25">
      <c r="A14" s="26"/>
      <c r="B14" s="27"/>
      <c r="C14" s="27"/>
      <c r="D14" s="27"/>
      <c r="E14" s="27"/>
      <c r="F14" s="27"/>
      <c r="G14" s="27"/>
      <c r="H14" s="27"/>
      <c r="I14" s="27"/>
      <c r="J14" s="27"/>
      <c r="K14" s="27"/>
      <c r="L14" s="27"/>
      <c r="M14" s="27"/>
      <c r="N14" s="27"/>
      <c r="O14" s="27"/>
      <c r="P14" s="27"/>
      <c r="Q14" s="27"/>
      <c r="R14" s="28"/>
    </row>
    <row r="15" spans="1:18" x14ac:dyDescent="0.25">
      <c r="A15" s="26"/>
      <c r="B15" s="27"/>
      <c r="C15" s="27"/>
      <c r="D15" s="27"/>
      <c r="E15" s="27"/>
      <c r="F15" s="27"/>
      <c r="G15" s="27"/>
      <c r="H15" s="27"/>
      <c r="I15" s="27"/>
      <c r="J15" s="27"/>
      <c r="K15" s="27"/>
      <c r="L15" s="27"/>
      <c r="M15" s="27"/>
      <c r="N15" s="27"/>
      <c r="O15" s="27"/>
      <c r="P15" s="27"/>
      <c r="Q15" s="27"/>
      <c r="R15" s="28"/>
    </row>
    <row r="16" spans="1:18" x14ac:dyDescent="0.25">
      <c r="A16" s="26"/>
      <c r="B16" s="27"/>
      <c r="C16" s="27"/>
      <c r="D16" s="27"/>
      <c r="E16" s="27"/>
      <c r="F16" s="27"/>
      <c r="G16" s="27"/>
      <c r="H16" s="27"/>
      <c r="I16" s="27"/>
      <c r="J16" s="27"/>
      <c r="K16" s="27"/>
      <c r="L16" s="27"/>
      <c r="M16" s="27"/>
      <c r="N16" s="27"/>
      <c r="O16" s="27"/>
      <c r="P16" s="27"/>
      <c r="Q16" s="27"/>
      <c r="R16" s="28"/>
    </row>
    <row r="17" spans="1:18" x14ac:dyDescent="0.25">
      <c r="A17" s="26"/>
      <c r="B17" s="27"/>
      <c r="C17" s="27"/>
      <c r="D17" s="27"/>
      <c r="E17" s="27"/>
      <c r="F17" s="27"/>
      <c r="G17" s="27"/>
      <c r="H17" s="27"/>
      <c r="I17" s="27"/>
      <c r="J17" s="27"/>
      <c r="K17" s="27"/>
      <c r="L17" s="27"/>
      <c r="M17" s="27"/>
      <c r="N17" s="27"/>
      <c r="O17" s="27"/>
      <c r="P17" s="27"/>
      <c r="Q17" s="27"/>
      <c r="R17" s="28"/>
    </row>
    <row r="18" spans="1:18" x14ac:dyDescent="0.25">
      <c r="A18" s="26"/>
      <c r="B18" s="27"/>
      <c r="C18" s="27"/>
      <c r="D18" s="27"/>
      <c r="E18" s="27"/>
      <c r="F18" s="27"/>
      <c r="G18" s="27"/>
      <c r="H18" s="27"/>
      <c r="I18" s="27"/>
      <c r="J18" s="27"/>
      <c r="K18" s="27"/>
      <c r="L18" s="27"/>
      <c r="M18" s="27"/>
      <c r="N18" s="27"/>
      <c r="O18" s="27"/>
      <c r="P18" s="27"/>
      <c r="Q18" s="27"/>
      <c r="R18" s="28"/>
    </row>
    <row r="19" spans="1:18" x14ac:dyDescent="0.25">
      <c r="A19" s="26"/>
      <c r="B19" s="27"/>
      <c r="C19" s="27"/>
      <c r="D19" s="27"/>
      <c r="E19" s="27"/>
      <c r="F19" s="27"/>
      <c r="G19" s="27"/>
      <c r="H19" s="27"/>
      <c r="I19" s="27"/>
      <c r="J19" s="27"/>
      <c r="K19" s="27"/>
      <c r="L19" s="27"/>
      <c r="M19" s="27"/>
      <c r="N19" s="27"/>
      <c r="O19" s="27"/>
      <c r="P19" s="27"/>
      <c r="Q19" s="27"/>
      <c r="R19" s="28"/>
    </row>
    <row r="20" spans="1:18" x14ac:dyDescent="0.25">
      <c r="A20" s="26"/>
      <c r="B20" s="27"/>
      <c r="C20" s="27"/>
      <c r="D20" s="27"/>
      <c r="E20" s="27"/>
      <c r="F20" s="27"/>
      <c r="G20" s="27"/>
      <c r="H20" s="27"/>
      <c r="I20" s="27"/>
      <c r="J20" s="27"/>
      <c r="K20" s="27"/>
      <c r="L20" s="27"/>
      <c r="M20" s="27"/>
      <c r="N20" s="27"/>
      <c r="O20" s="27"/>
      <c r="P20" s="27"/>
      <c r="Q20" s="27"/>
      <c r="R20" s="28"/>
    </row>
    <row r="21" spans="1:18" x14ac:dyDescent="0.25">
      <c r="A21" s="26"/>
      <c r="B21" s="27"/>
      <c r="C21" s="27"/>
      <c r="D21" s="27"/>
      <c r="E21" s="27"/>
      <c r="F21" s="27"/>
      <c r="G21" s="27"/>
      <c r="H21" s="27"/>
      <c r="I21" s="27"/>
      <c r="J21" s="27"/>
      <c r="K21" s="27"/>
      <c r="L21" s="27"/>
      <c r="M21" s="27"/>
      <c r="N21" s="27"/>
      <c r="O21" s="27"/>
      <c r="P21" s="27"/>
      <c r="Q21" s="27"/>
      <c r="R21" s="28"/>
    </row>
    <row r="22" spans="1:18" x14ac:dyDescent="0.25">
      <c r="A22" s="26"/>
      <c r="B22" s="27"/>
      <c r="C22" s="27"/>
      <c r="D22" s="27"/>
      <c r="E22" s="27"/>
      <c r="F22" s="27"/>
      <c r="G22" s="27"/>
      <c r="H22" s="27"/>
      <c r="I22" s="27"/>
      <c r="J22" s="27"/>
      <c r="K22" s="27"/>
      <c r="L22" s="27"/>
      <c r="M22" s="27"/>
      <c r="N22" s="27"/>
      <c r="O22" s="27"/>
      <c r="P22" s="27"/>
      <c r="Q22" s="27"/>
      <c r="R22" s="28"/>
    </row>
    <row r="23" spans="1:18" x14ac:dyDescent="0.25">
      <c r="A23" s="26"/>
      <c r="B23" s="27"/>
      <c r="C23" s="27"/>
      <c r="D23" s="27"/>
      <c r="E23" s="27"/>
      <c r="F23" s="27"/>
      <c r="G23" s="27"/>
      <c r="H23" s="27"/>
      <c r="I23" s="27"/>
      <c r="J23" s="27"/>
      <c r="K23" s="27"/>
      <c r="L23" s="27"/>
      <c r="M23" s="27"/>
      <c r="N23" s="27"/>
      <c r="O23" s="27"/>
      <c r="P23" s="27"/>
      <c r="Q23" s="27"/>
      <c r="R23" s="28"/>
    </row>
    <row r="24" spans="1:18" x14ac:dyDescent="0.25">
      <c r="A24" s="26"/>
      <c r="B24" s="27"/>
      <c r="C24" s="27"/>
      <c r="D24" s="27"/>
      <c r="E24" s="27"/>
      <c r="F24" s="27"/>
      <c r="G24" s="27"/>
      <c r="H24" s="27"/>
      <c r="I24" s="27"/>
      <c r="J24" s="27"/>
      <c r="K24" s="27"/>
      <c r="L24" s="27"/>
      <c r="M24" s="27"/>
      <c r="N24" s="27"/>
      <c r="O24" s="27"/>
      <c r="P24" s="27"/>
      <c r="Q24" s="27"/>
      <c r="R24" s="28"/>
    </row>
    <row r="25" spans="1:18" x14ac:dyDescent="0.25">
      <c r="A25" s="26"/>
      <c r="B25" s="27"/>
      <c r="C25" s="27"/>
      <c r="D25" s="27"/>
      <c r="E25" s="27"/>
      <c r="F25" s="27"/>
      <c r="G25" s="27"/>
      <c r="H25" s="27"/>
      <c r="I25" s="27"/>
      <c r="J25" s="27"/>
      <c r="K25" s="27"/>
      <c r="L25" s="27"/>
      <c r="M25" s="27"/>
      <c r="N25" s="27"/>
      <c r="O25" s="27"/>
      <c r="P25" s="27"/>
      <c r="Q25" s="27"/>
      <c r="R25" s="28"/>
    </row>
    <row r="26" spans="1:18" x14ac:dyDescent="0.25">
      <c r="A26" s="26"/>
      <c r="B26" s="27"/>
      <c r="C26" s="27"/>
      <c r="D26" s="27"/>
      <c r="E26" s="27"/>
      <c r="F26" s="27"/>
      <c r="G26" s="27"/>
      <c r="H26" s="27"/>
      <c r="I26" s="27"/>
      <c r="J26" s="27"/>
      <c r="K26" s="27"/>
      <c r="L26" s="27"/>
      <c r="M26" s="27"/>
      <c r="N26" s="27"/>
      <c r="O26" s="27"/>
      <c r="P26" s="27"/>
      <c r="Q26" s="27"/>
      <c r="R26" s="28"/>
    </row>
    <row r="27" spans="1:18" x14ac:dyDescent="0.25">
      <c r="A27" s="26"/>
      <c r="B27" s="27"/>
      <c r="C27" s="27"/>
      <c r="D27" s="27"/>
      <c r="E27" s="27"/>
      <c r="F27" s="27"/>
      <c r="G27" s="27"/>
      <c r="H27" s="27"/>
      <c r="I27" s="27"/>
      <c r="J27" s="27"/>
      <c r="K27" s="27"/>
      <c r="L27" s="27"/>
      <c r="M27" s="27"/>
      <c r="N27" s="27"/>
      <c r="O27" s="27"/>
      <c r="P27" s="27"/>
      <c r="Q27" s="27"/>
      <c r="R27" s="28"/>
    </row>
    <row r="28" spans="1:18" x14ac:dyDescent="0.25">
      <c r="A28" s="26"/>
      <c r="B28" s="27"/>
      <c r="C28" s="27"/>
      <c r="D28" s="27"/>
      <c r="E28" s="27"/>
      <c r="F28" s="27"/>
      <c r="G28" s="27"/>
      <c r="H28" s="27"/>
      <c r="I28" s="27"/>
      <c r="J28" s="27"/>
      <c r="K28" s="27"/>
      <c r="L28" s="27"/>
      <c r="M28" s="27"/>
      <c r="N28" s="27"/>
      <c r="O28" s="27"/>
      <c r="P28" s="27"/>
      <c r="Q28" s="27"/>
      <c r="R28" s="28"/>
    </row>
    <row r="29" spans="1:18" x14ac:dyDescent="0.25">
      <c r="A29" s="26"/>
      <c r="B29" s="27"/>
      <c r="C29" s="27"/>
      <c r="D29" s="27"/>
      <c r="E29" s="27"/>
      <c r="F29" s="27"/>
      <c r="G29" s="27"/>
      <c r="H29" s="27"/>
      <c r="I29" s="27"/>
      <c r="J29" s="27"/>
      <c r="K29" s="27"/>
      <c r="L29" s="27"/>
      <c r="M29" s="27"/>
      <c r="N29" s="27"/>
      <c r="O29" s="27"/>
      <c r="P29" s="27"/>
      <c r="Q29" s="27"/>
      <c r="R29" s="28"/>
    </row>
    <row r="30" spans="1:18" x14ac:dyDescent="0.25">
      <c r="A30" s="26"/>
      <c r="B30" s="27"/>
      <c r="C30" s="27"/>
      <c r="D30" s="27"/>
      <c r="E30" s="27"/>
      <c r="F30" s="27"/>
      <c r="G30" s="27"/>
      <c r="H30" s="27"/>
      <c r="I30" s="27"/>
      <c r="J30" s="27"/>
      <c r="K30" s="27"/>
      <c r="L30" s="27"/>
      <c r="M30" s="27"/>
      <c r="N30" s="27"/>
      <c r="O30" s="27"/>
      <c r="P30" s="27"/>
      <c r="Q30" s="27"/>
      <c r="R30"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DCE3-3BFC-448D-9F7A-F3340BC5B624}">
  <dimension ref="A3:D8"/>
  <sheetViews>
    <sheetView workbookViewId="0">
      <selection activeCell="K23" sqref="K23"/>
    </sheetView>
  </sheetViews>
  <sheetFormatPr defaultRowHeight="13.8" x14ac:dyDescent="0.25"/>
  <cols>
    <col min="1" max="1" width="11.8984375" bestFit="1" customWidth="1"/>
    <col min="2" max="2" width="20.19921875" bestFit="1" customWidth="1"/>
    <col min="3" max="3" width="20.09765625" bestFit="1" customWidth="1"/>
    <col min="4" max="4" width="16.796875" bestFit="1" customWidth="1"/>
  </cols>
  <sheetData>
    <row r="3" spans="1:4" x14ac:dyDescent="0.25">
      <c r="A3" s="5" t="s">
        <v>27</v>
      </c>
      <c r="B3" t="s">
        <v>129</v>
      </c>
      <c r="C3" t="s">
        <v>131</v>
      </c>
      <c r="D3" t="s">
        <v>130</v>
      </c>
    </row>
    <row r="4" spans="1:4" x14ac:dyDescent="0.25">
      <c r="A4" s="6" t="s">
        <v>127</v>
      </c>
      <c r="B4" s="29">
        <v>13081</v>
      </c>
      <c r="C4" s="29">
        <v>0</v>
      </c>
      <c r="D4" s="29">
        <v>0</v>
      </c>
    </row>
    <row r="5" spans="1:4" x14ac:dyDescent="0.25">
      <c r="A5" s="6" t="s">
        <v>128</v>
      </c>
      <c r="B5" s="29">
        <v>10200</v>
      </c>
      <c r="C5" s="29">
        <v>0</v>
      </c>
      <c r="D5" s="29">
        <v>0</v>
      </c>
    </row>
    <row r="6" spans="1:4" x14ac:dyDescent="0.25">
      <c r="A6" s="6" t="s">
        <v>126</v>
      </c>
      <c r="B6" s="29">
        <v>12698</v>
      </c>
      <c r="C6" s="29">
        <v>0</v>
      </c>
      <c r="D6" s="29">
        <v>0</v>
      </c>
    </row>
    <row r="7" spans="1:4" x14ac:dyDescent="0.25">
      <c r="A7" s="6" t="s">
        <v>122</v>
      </c>
      <c r="B7" s="29">
        <v>8400</v>
      </c>
      <c r="C7" s="29">
        <v>0</v>
      </c>
      <c r="D7" s="29">
        <v>0</v>
      </c>
    </row>
    <row r="8" spans="1:4" x14ac:dyDescent="0.25">
      <c r="A8" s="6" t="s">
        <v>28</v>
      </c>
      <c r="B8" s="29">
        <v>44379</v>
      </c>
      <c r="C8" s="29">
        <v>0</v>
      </c>
      <c r="D8" s="29">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selection activeCell="B19" sqref="B19"/>
    </sheetView>
  </sheetViews>
  <sheetFormatPr defaultRowHeight="13.8" x14ac:dyDescent="0.25"/>
  <cols>
    <col min="1" max="1" width="14.59765625" customWidth="1"/>
    <col min="2" max="2" width="37.8984375" customWidth="1"/>
    <col min="3" max="4" width="17.5" customWidth="1"/>
    <col min="5" max="5" width="15.3984375" customWidth="1"/>
    <col min="6" max="6" width="12.09765625" customWidth="1"/>
    <col min="7" max="7" width="16.296875" customWidth="1"/>
    <col min="8" max="8" width="26.09765625" customWidth="1"/>
  </cols>
  <sheetData>
    <row r="1" spans="1:8" ht="14.4" x14ac:dyDescent="0.3">
      <c r="A1" s="1" t="s">
        <v>118</v>
      </c>
      <c r="B1" s="1" t="s">
        <v>119</v>
      </c>
      <c r="C1" s="1" t="s">
        <v>120</v>
      </c>
      <c r="D1" s="1" t="s">
        <v>121</v>
      </c>
      <c r="E1" s="1" t="s">
        <v>0</v>
      </c>
      <c r="F1" s="1" t="s">
        <v>1</v>
      </c>
      <c r="G1" s="1" t="s">
        <v>2</v>
      </c>
      <c r="H1" s="1" t="s">
        <v>3</v>
      </c>
    </row>
    <row r="2" spans="1:8" x14ac:dyDescent="0.25">
      <c r="A2" t="s">
        <v>122</v>
      </c>
      <c r="B2">
        <v>8400</v>
      </c>
      <c r="C2">
        <v>0</v>
      </c>
      <c r="D2">
        <v>0</v>
      </c>
      <c r="F2" t="s">
        <v>124</v>
      </c>
      <c r="G2" t="s">
        <v>125</v>
      </c>
      <c r="H2" t="s">
        <v>123</v>
      </c>
    </row>
    <row r="3" spans="1:8" x14ac:dyDescent="0.25">
      <c r="A3" t="s">
        <v>126</v>
      </c>
      <c r="B3">
        <v>12698</v>
      </c>
      <c r="C3">
        <v>0</v>
      </c>
      <c r="D3">
        <v>0</v>
      </c>
      <c r="F3" t="s">
        <v>124</v>
      </c>
      <c r="G3" t="s">
        <v>125</v>
      </c>
      <c r="H3" t="s">
        <v>123</v>
      </c>
    </row>
    <row r="4" spans="1:8" x14ac:dyDescent="0.25">
      <c r="A4" t="s">
        <v>127</v>
      </c>
      <c r="B4">
        <v>13081</v>
      </c>
      <c r="C4">
        <v>0</v>
      </c>
      <c r="D4">
        <v>0</v>
      </c>
      <c r="F4" t="s">
        <v>124</v>
      </c>
      <c r="G4" t="s">
        <v>125</v>
      </c>
      <c r="H4" t="s">
        <v>123</v>
      </c>
    </row>
    <row r="5" spans="1:8" x14ac:dyDescent="0.25">
      <c r="A5" t="s">
        <v>128</v>
      </c>
      <c r="B5">
        <v>10200</v>
      </c>
      <c r="C5">
        <v>0</v>
      </c>
      <c r="D5">
        <v>0</v>
      </c>
      <c r="F5" t="s">
        <v>124</v>
      </c>
      <c r="G5" t="s">
        <v>125</v>
      </c>
      <c r="H5" t="s">
        <v>123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E4AC-9E24-497F-950D-15CC07D4E06B}">
  <dimension ref="A3:B11"/>
  <sheetViews>
    <sheetView workbookViewId="0">
      <selection activeCell="B11" sqref="B11"/>
    </sheetView>
  </sheetViews>
  <sheetFormatPr defaultRowHeight="13.8" x14ac:dyDescent="0.25"/>
  <cols>
    <col min="1" max="1" width="17.5" customWidth="1"/>
    <col min="2" max="2" width="16" customWidth="1"/>
  </cols>
  <sheetData>
    <row r="3" spans="1:2" x14ac:dyDescent="0.25">
      <c r="A3" s="5" t="s">
        <v>27</v>
      </c>
      <c r="B3" t="s">
        <v>117</v>
      </c>
    </row>
    <row r="4" spans="1:2" x14ac:dyDescent="0.25">
      <c r="A4" s="6" t="s">
        <v>70</v>
      </c>
      <c r="B4" s="29">
        <v>2</v>
      </c>
    </row>
    <row r="5" spans="1:2" x14ac:dyDescent="0.25">
      <c r="A5" s="6" t="s">
        <v>37</v>
      </c>
      <c r="B5" s="29">
        <v>2</v>
      </c>
    </row>
    <row r="6" spans="1:2" x14ac:dyDescent="0.25">
      <c r="A6" s="6" t="s">
        <v>19</v>
      </c>
      <c r="B6" s="29">
        <v>2</v>
      </c>
    </row>
    <row r="7" spans="1:2" x14ac:dyDescent="0.25">
      <c r="A7" s="6" t="s">
        <v>87</v>
      </c>
      <c r="B7" s="29">
        <v>1</v>
      </c>
    </row>
    <row r="8" spans="1:2" x14ac:dyDescent="0.25">
      <c r="A8" s="6" t="s">
        <v>53</v>
      </c>
      <c r="B8" s="29">
        <v>2</v>
      </c>
    </row>
    <row r="9" spans="1:2" x14ac:dyDescent="0.25">
      <c r="A9" s="6" t="s">
        <v>103</v>
      </c>
      <c r="B9" s="29">
        <v>1</v>
      </c>
    </row>
    <row r="10" spans="1:2" x14ac:dyDescent="0.25">
      <c r="A10" s="6" t="s">
        <v>104</v>
      </c>
      <c r="B10" s="29">
        <v>1</v>
      </c>
    </row>
    <row r="11" spans="1:2" x14ac:dyDescent="0.25">
      <c r="A11" s="6" t="s">
        <v>28</v>
      </c>
      <c r="B11" s="29">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CB3E6-EF39-4E49-95CD-D029329FDB66}">
  <dimension ref="A1:I12"/>
  <sheetViews>
    <sheetView workbookViewId="0">
      <selection activeCell="G1" sqref="G1"/>
    </sheetView>
  </sheetViews>
  <sheetFormatPr defaultRowHeight="13.8" x14ac:dyDescent="0.25"/>
  <cols>
    <col min="1" max="1" width="10.5" customWidth="1"/>
    <col min="2" max="2" width="17.5" customWidth="1"/>
    <col min="3" max="3" width="17.8984375" customWidth="1"/>
    <col min="4" max="4" width="10.5" customWidth="1"/>
    <col min="5" max="5" width="9.59765625" customWidth="1"/>
    <col min="6" max="6" width="14.796875" customWidth="1"/>
    <col min="7" max="7" width="7.69921875" customWidth="1"/>
    <col min="8" max="8" width="7.5" customWidth="1"/>
    <col min="9" max="9" width="7.296875" customWidth="1"/>
  </cols>
  <sheetData>
    <row r="1" spans="1:9" ht="41.4" x14ac:dyDescent="0.25">
      <c r="A1" s="19" t="s">
        <v>12</v>
      </c>
      <c r="B1" s="20" t="s">
        <v>11</v>
      </c>
      <c r="C1" s="20" t="s">
        <v>107</v>
      </c>
      <c r="D1" s="20" t="s">
        <v>108</v>
      </c>
      <c r="E1" s="20" t="s">
        <v>109</v>
      </c>
      <c r="F1" s="20" t="s">
        <v>110</v>
      </c>
      <c r="G1" s="20" t="s">
        <v>111</v>
      </c>
      <c r="H1" s="21" t="s">
        <v>23</v>
      </c>
      <c r="I1" s="22" t="s">
        <v>112</v>
      </c>
    </row>
    <row r="2" spans="1:9" x14ac:dyDescent="0.25">
      <c r="A2" s="11">
        <v>45585</v>
      </c>
      <c r="B2" s="12" t="s">
        <v>19</v>
      </c>
      <c r="C2" s="12" t="s">
        <v>89</v>
      </c>
      <c r="D2" s="12" t="s">
        <v>90</v>
      </c>
      <c r="E2" s="12" t="s">
        <v>91</v>
      </c>
      <c r="F2" s="12" t="s">
        <v>92</v>
      </c>
      <c r="G2" s="12">
        <v>1</v>
      </c>
      <c r="H2" s="13">
        <v>0.95</v>
      </c>
      <c r="I2" s="14">
        <v>0.98</v>
      </c>
    </row>
    <row r="3" spans="1:9" x14ac:dyDescent="0.25">
      <c r="A3" s="15">
        <v>45631</v>
      </c>
      <c r="B3" s="16" t="s">
        <v>19</v>
      </c>
      <c r="C3" s="16" t="s">
        <v>89</v>
      </c>
      <c r="D3" s="16" t="s">
        <v>90</v>
      </c>
      <c r="E3" s="16" t="s">
        <v>91</v>
      </c>
      <c r="F3" s="16" t="s">
        <v>92</v>
      </c>
      <c r="G3" s="16">
        <v>2</v>
      </c>
      <c r="H3" s="17">
        <v>0.97</v>
      </c>
      <c r="I3" s="18">
        <v>0.97</v>
      </c>
    </row>
    <row r="4" spans="1:9" x14ac:dyDescent="0.25">
      <c r="A4" s="11">
        <v>45713</v>
      </c>
      <c r="B4" s="12" t="s">
        <v>37</v>
      </c>
      <c r="C4" s="12" t="s">
        <v>89</v>
      </c>
      <c r="D4" s="12" t="s">
        <v>90</v>
      </c>
      <c r="E4" s="12" t="s">
        <v>91</v>
      </c>
      <c r="F4" s="12" t="s">
        <v>38</v>
      </c>
      <c r="G4" s="12">
        <v>1</v>
      </c>
      <c r="H4" s="13">
        <v>0.95</v>
      </c>
      <c r="I4" s="14">
        <v>0.93</v>
      </c>
    </row>
    <row r="5" spans="1:9" x14ac:dyDescent="0.25">
      <c r="A5" s="15">
        <v>45715</v>
      </c>
      <c r="B5" s="16" t="s">
        <v>37</v>
      </c>
      <c r="C5" s="16" t="s">
        <v>89</v>
      </c>
      <c r="D5" s="16" t="s">
        <v>90</v>
      </c>
      <c r="E5" s="16" t="s">
        <v>91</v>
      </c>
      <c r="F5" s="16" t="s">
        <v>38</v>
      </c>
      <c r="G5" s="16">
        <v>2</v>
      </c>
      <c r="H5" s="17">
        <v>0.97</v>
      </c>
      <c r="I5" s="18">
        <v>1</v>
      </c>
    </row>
    <row r="6" spans="1:9" x14ac:dyDescent="0.25">
      <c r="A6" s="11">
        <v>45741</v>
      </c>
      <c r="B6" s="12" t="s">
        <v>53</v>
      </c>
      <c r="C6" s="12" t="s">
        <v>93</v>
      </c>
      <c r="D6" s="12" t="s">
        <v>94</v>
      </c>
      <c r="E6" s="12" t="s">
        <v>95</v>
      </c>
      <c r="F6" s="12" t="s">
        <v>92</v>
      </c>
      <c r="G6" s="12">
        <v>1</v>
      </c>
      <c r="H6" s="13">
        <v>0.95</v>
      </c>
      <c r="I6" s="14">
        <v>0.97</v>
      </c>
    </row>
    <row r="7" spans="1:9" x14ac:dyDescent="0.25">
      <c r="A7" s="15">
        <v>45772</v>
      </c>
      <c r="B7" s="16" t="s">
        <v>70</v>
      </c>
      <c r="C7" s="16" t="s">
        <v>96</v>
      </c>
      <c r="D7" s="16" t="s">
        <v>97</v>
      </c>
      <c r="E7" s="16" t="s">
        <v>98</v>
      </c>
      <c r="F7" s="16" t="s">
        <v>92</v>
      </c>
      <c r="G7" s="16">
        <v>1</v>
      </c>
      <c r="H7" s="17">
        <v>0.95</v>
      </c>
      <c r="I7" s="18">
        <v>0.99</v>
      </c>
    </row>
    <row r="8" spans="1:9" x14ac:dyDescent="0.25">
      <c r="A8" s="11">
        <v>45772</v>
      </c>
      <c r="B8" s="12" t="s">
        <v>87</v>
      </c>
      <c r="C8" s="12" t="s">
        <v>99</v>
      </c>
      <c r="D8" s="12" t="s">
        <v>100</v>
      </c>
      <c r="E8" s="12" t="s">
        <v>101</v>
      </c>
      <c r="F8" s="12" t="s">
        <v>92</v>
      </c>
      <c r="G8" s="12">
        <v>1</v>
      </c>
      <c r="H8" s="13">
        <v>0.95</v>
      </c>
      <c r="I8" s="14">
        <v>0.99</v>
      </c>
    </row>
    <row r="9" spans="1:9" x14ac:dyDescent="0.25">
      <c r="A9" s="15">
        <v>45776</v>
      </c>
      <c r="B9" s="16" t="s">
        <v>53</v>
      </c>
      <c r="C9" s="16" t="s">
        <v>93</v>
      </c>
      <c r="D9" s="16" t="s">
        <v>94</v>
      </c>
      <c r="E9" s="16" t="s">
        <v>95</v>
      </c>
      <c r="F9" s="16" t="s">
        <v>92</v>
      </c>
      <c r="G9" s="16">
        <v>2</v>
      </c>
      <c r="H9" s="17">
        <v>0.97</v>
      </c>
      <c r="I9" s="18">
        <v>0.99</v>
      </c>
    </row>
    <row r="10" spans="1:9" x14ac:dyDescent="0.25">
      <c r="A10" s="11">
        <v>45785</v>
      </c>
      <c r="B10" s="12" t="s">
        <v>70</v>
      </c>
      <c r="C10" s="12" t="s">
        <v>96</v>
      </c>
      <c r="D10" s="12" t="s">
        <v>97</v>
      </c>
      <c r="E10" s="12" t="s">
        <v>98</v>
      </c>
      <c r="F10" s="12" t="s">
        <v>102</v>
      </c>
      <c r="G10" s="12">
        <v>2</v>
      </c>
      <c r="H10" s="13">
        <v>0.97</v>
      </c>
      <c r="I10" s="14">
        <v>0.97</v>
      </c>
    </row>
    <row r="11" spans="1:9" x14ac:dyDescent="0.25">
      <c r="A11" s="15">
        <v>45790</v>
      </c>
      <c r="B11" s="16" t="s">
        <v>103</v>
      </c>
      <c r="C11" s="16" t="s">
        <v>93</v>
      </c>
      <c r="D11" s="16" t="s">
        <v>94</v>
      </c>
      <c r="E11" s="16" t="s">
        <v>95</v>
      </c>
      <c r="F11" s="16" t="s">
        <v>92</v>
      </c>
      <c r="G11" s="16">
        <v>3</v>
      </c>
      <c r="H11" s="17">
        <v>0.97</v>
      </c>
      <c r="I11" s="18">
        <v>0.98</v>
      </c>
    </row>
    <row r="12" spans="1:9" x14ac:dyDescent="0.25">
      <c r="A12" s="11">
        <v>45778</v>
      </c>
      <c r="B12" s="12" t="s">
        <v>104</v>
      </c>
      <c r="C12" s="12" t="s">
        <v>96</v>
      </c>
      <c r="D12" s="12" t="s">
        <v>105</v>
      </c>
      <c r="E12" s="12" t="s">
        <v>106</v>
      </c>
      <c r="F12" s="12" t="s">
        <v>38</v>
      </c>
      <c r="G12" s="12">
        <v>1</v>
      </c>
      <c r="H12" s="13">
        <v>0.95</v>
      </c>
      <c r="I12" s="14">
        <v>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B67B-AC62-4589-89EF-B1DE0B306C35}">
  <dimension ref="A3:C48"/>
  <sheetViews>
    <sheetView workbookViewId="0">
      <selection activeCell="E25" sqref="E25"/>
    </sheetView>
  </sheetViews>
  <sheetFormatPr defaultRowHeight="14.4" x14ac:dyDescent="0.25"/>
  <cols>
    <col min="1" max="1" width="12.5" customWidth="1"/>
    <col min="2" max="2" width="22.09765625" style="2" customWidth="1"/>
    <col min="3" max="3" width="17.296875" customWidth="1"/>
  </cols>
  <sheetData>
    <row r="3" spans="1:3" ht="13.8" x14ac:dyDescent="0.25">
      <c r="A3" s="5" t="s">
        <v>27</v>
      </c>
      <c r="B3" t="s">
        <v>29</v>
      </c>
      <c r="C3" t="s">
        <v>113</v>
      </c>
    </row>
    <row r="4" spans="1:3" ht="13.8" x14ac:dyDescent="0.25">
      <c r="A4" s="6" t="s">
        <v>70</v>
      </c>
      <c r="B4" s="2">
        <v>0.98</v>
      </c>
      <c r="C4" s="2">
        <v>0.95</v>
      </c>
    </row>
    <row r="5" spans="1:3" ht="13.8" x14ac:dyDescent="0.25">
      <c r="A5" s="6" t="s">
        <v>37</v>
      </c>
      <c r="B5" s="2">
        <v>0.94400000000000017</v>
      </c>
      <c r="C5" s="2">
        <v>0.95</v>
      </c>
    </row>
    <row r="6" spans="1:3" ht="13.8" x14ac:dyDescent="0.25">
      <c r="A6" s="6" t="s">
        <v>19</v>
      </c>
      <c r="B6" s="2">
        <v>0.98</v>
      </c>
      <c r="C6" s="2">
        <v>0.94999999999999984</v>
      </c>
    </row>
    <row r="7" spans="1:3" ht="13.8" x14ac:dyDescent="0.25">
      <c r="A7" s="6" t="s">
        <v>87</v>
      </c>
      <c r="B7" s="2">
        <v>0.99</v>
      </c>
      <c r="C7" s="2">
        <v>0.95</v>
      </c>
    </row>
    <row r="8" spans="1:3" ht="13.8" x14ac:dyDescent="0.25">
      <c r="A8" s="6" t="s">
        <v>53</v>
      </c>
      <c r="B8" s="2">
        <v>0.97764999999999991</v>
      </c>
      <c r="C8" s="2">
        <v>0.95</v>
      </c>
    </row>
    <row r="9" spans="1:3" ht="13.8" x14ac:dyDescent="0.25">
      <c r="A9" s="6" t="s">
        <v>77</v>
      </c>
      <c r="B9" s="2">
        <v>0.96</v>
      </c>
      <c r="C9" s="2">
        <v>0.95</v>
      </c>
    </row>
    <row r="10" spans="1:3" ht="13.8" x14ac:dyDescent="0.25">
      <c r="A10" s="6" t="s">
        <v>28</v>
      </c>
      <c r="B10" s="2">
        <v>0.96634736842105295</v>
      </c>
      <c r="C10" s="2">
        <v>0.94999999999999962</v>
      </c>
    </row>
    <row r="11" spans="1:3" ht="13.8" x14ac:dyDescent="0.25">
      <c r="B11"/>
    </row>
    <row r="12" spans="1:3" ht="13.8" x14ac:dyDescent="0.25">
      <c r="B12"/>
    </row>
    <row r="13" spans="1:3" ht="13.8" x14ac:dyDescent="0.25">
      <c r="B13"/>
    </row>
    <row r="14" spans="1:3" ht="13.8" x14ac:dyDescent="0.25">
      <c r="B14"/>
    </row>
    <row r="15" spans="1:3" ht="13.8" x14ac:dyDescent="0.25">
      <c r="B15"/>
    </row>
    <row r="16" spans="1:3" ht="13.8" x14ac:dyDescent="0.25">
      <c r="B16"/>
    </row>
    <row r="17" spans="2:2" ht="13.8" x14ac:dyDescent="0.25">
      <c r="B17"/>
    </row>
    <row r="18" spans="2:2" ht="13.8" x14ac:dyDescent="0.25">
      <c r="B18"/>
    </row>
    <row r="19" spans="2:2" ht="13.8" x14ac:dyDescent="0.25">
      <c r="B19"/>
    </row>
    <row r="20" spans="2:2" ht="13.8" x14ac:dyDescent="0.25">
      <c r="B20"/>
    </row>
    <row r="21" spans="2:2" ht="13.8" x14ac:dyDescent="0.25">
      <c r="B21"/>
    </row>
    <row r="22" spans="2:2" ht="13.8" x14ac:dyDescent="0.25">
      <c r="B22"/>
    </row>
    <row r="23" spans="2:2" ht="13.8" x14ac:dyDescent="0.25">
      <c r="B23"/>
    </row>
    <row r="24" spans="2:2" ht="13.8" x14ac:dyDescent="0.25">
      <c r="B24"/>
    </row>
    <row r="25" spans="2:2" ht="13.8" x14ac:dyDescent="0.25">
      <c r="B25"/>
    </row>
    <row r="26" spans="2:2" ht="13.8" x14ac:dyDescent="0.25">
      <c r="B26"/>
    </row>
    <row r="27" spans="2:2" ht="13.8" x14ac:dyDescent="0.25">
      <c r="B27"/>
    </row>
    <row r="28" spans="2:2" ht="13.8" x14ac:dyDescent="0.25">
      <c r="B28"/>
    </row>
    <row r="29" spans="2:2" ht="13.8" x14ac:dyDescent="0.25">
      <c r="B29"/>
    </row>
    <row r="30" spans="2:2" ht="13.8" x14ac:dyDescent="0.25">
      <c r="B30"/>
    </row>
    <row r="31" spans="2:2" ht="13.8" x14ac:dyDescent="0.25">
      <c r="B31"/>
    </row>
    <row r="32" spans="2:2" ht="13.8" x14ac:dyDescent="0.25">
      <c r="B32"/>
    </row>
    <row r="33" spans="2:2" ht="13.8" x14ac:dyDescent="0.25">
      <c r="B33"/>
    </row>
    <row r="34" spans="2:2" ht="13.8" x14ac:dyDescent="0.25">
      <c r="B34"/>
    </row>
    <row r="35" spans="2:2" ht="13.8" x14ac:dyDescent="0.25">
      <c r="B35"/>
    </row>
    <row r="36" spans="2:2" ht="13.8" x14ac:dyDescent="0.25">
      <c r="B36"/>
    </row>
    <row r="37" spans="2:2" ht="13.8" x14ac:dyDescent="0.25">
      <c r="B37"/>
    </row>
    <row r="38" spans="2:2" ht="13.8" x14ac:dyDescent="0.25">
      <c r="B38"/>
    </row>
    <row r="39" spans="2:2" ht="13.8" x14ac:dyDescent="0.25"/>
    <row r="40" spans="2:2" ht="13.8" x14ac:dyDescent="0.25"/>
    <row r="41" spans="2:2" ht="13.8" x14ac:dyDescent="0.25"/>
    <row r="42" spans="2:2" ht="13.8" x14ac:dyDescent="0.25"/>
    <row r="43" spans="2:2" ht="13.8" x14ac:dyDescent="0.25"/>
    <row r="44" spans="2:2" ht="13.8" x14ac:dyDescent="0.25"/>
    <row r="45" spans="2:2" ht="13.8" x14ac:dyDescent="0.25"/>
    <row r="46" spans="2:2" ht="13.8" x14ac:dyDescent="0.25"/>
    <row r="47" spans="2:2" ht="13.8" x14ac:dyDescent="0.25"/>
    <row r="48" spans="2:2" ht="13.8"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DCB3-B4E6-4D3A-BB35-106B0A18F51E}">
  <dimension ref="A3:B12"/>
  <sheetViews>
    <sheetView workbookViewId="0">
      <selection activeCell="G27" sqref="G27"/>
    </sheetView>
  </sheetViews>
  <sheetFormatPr defaultRowHeight="13.8" x14ac:dyDescent="0.25"/>
  <cols>
    <col min="1" max="1" width="23.69921875" customWidth="1"/>
    <col min="2" max="2" width="16.3984375" customWidth="1"/>
  </cols>
  <sheetData>
    <row r="3" spans="1:2" x14ac:dyDescent="0.25">
      <c r="A3" s="5" t="s">
        <v>27</v>
      </c>
      <c r="B3" t="s">
        <v>114</v>
      </c>
    </row>
    <row r="4" spans="1:2" x14ac:dyDescent="0.25">
      <c r="A4" s="6" t="s">
        <v>58</v>
      </c>
      <c r="B4" s="29">
        <v>9</v>
      </c>
    </row>
    <row r="5" spans="1:2" x14ac:dyDescent="0.25">
      <c r="A5" s="6" t="s">
        <v>40</v>
      </c>
      <c r="B5" s="29">
        <v>1</v>
      </c>
    </row>
    <row r="6" spans="1:2" x14ac:dyDescent="0.25">
      <c r="A6" s="6" t="s">
        <v>67</v>
      </c>
      <c r="B6" s="29">
        <v>1</v>
      </c>
    </row>
    <row r="7" spans="1:2" x14ac:dyDescent="0.25">
      <c r="A7" s="6" t="s">
        <v>30</v>
      </c>
      <c r="B7" s="29">
        <v>1</v>
      </c>
    </row>
    <row r="8" spans="1:2" x14ac:dyDescent="0.25">
      <c r="A8" s="6" t="s">
        <v>59</v>
      </c>
      <c r="B8" s="29"/>
    </row>
    <row r="9" spans="1:2" x14ac:dyDescent="0.25">
      <c r="A9" s="6" t="s">
        <v>85</v>
      </c>
      <c r="B9" s="29">
        <v>1</v>
      </c>
    </row>
    <row r="10" spans="1:2" x14ac:dyDescent="0.25">
      <c r="A10" s="6" t="s">
        <v>62</v>
      </c>
      <c r="B10" s="29">
        <v>1</v>
      </c>
    </row>
    <row r="11" spans="1:2" x14ac:dyDescent="0.25">
      <c r="A11" s="6" t="s">
        <v>44</v>
      </c>
      <c r="B11" s="29">
        <v>4</v>
      </c>
    </row>
    <row r="12" spans="1:2" x14ac:dyDescent="0.25">
      <c r="A12" s="6" t="s">
        <v>28</v>
      </c>
      <c r="B12" s="29">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E4DD-EAB1-484A-8885-B86DA6E754C0}">
  <dimension ref="A1:K22"/>
  <sheetViews>
    <sheetView workbookViewId="0">
      <selection activeCell="K20" sqref="A1:K20"/>
    </sheetView>
  </sheetViews>
  <sheetFormatPr defaultRowHeight="14.4" x14ac:dyDescent="0.25"/>
  <cols>
    <col min="1" max="1" width="10.5" customWidth="1"/>
    <col min="3" max="3" width="10.8984375" customWidth="1"/>
    <col min="4" max="4" width="8.69921875" customWidth="1"/>
    <col min="5" max="5" width="9.69921875" customWidth="1"/>
    <col min="6" max="6" width="28.09765625" customWidth="1"/>
    <col min="7" max="7" width="10.09765625" customWidth="1"/>
    <col min="8" max="8" width="16.8984375" customWidth="1"/>
    <col min="9" max="9" width="35.8984375" customWidth="1"/>
    <col min="10" max="10" width="9.69921875" customWidth="1"/>
    <col min="11" max="11" width="8.5" customWidth="1"/>
  </cols>
  <sheetData>
    <row r="1" spans="1:11" ht="43.2" x14ac:dyDescent="0.3">
      <c r="A1" s="3" t="s">
        <v>12</v>
      </c>
      <c r="B1" s="3" t="s">
        <v>11</v>
      </c>
      <c r="C1" s="3" t="s">
        <v>13</v>
      </c>
      <c r="D1" s="7" t="s">
        <v>22</v>
      </c>
      <c r="E1" s="7" t="s">
        <v>23</v>
      </c>
      <c r="F1" s="3" t="s">
        <v>14</v>
      </c>
      <c r="G1" s="3" t="s">
        <v>21</v>
      </c>
      <c r="H1" s="3" t="s">
        <v>15</v>
      </c>
      <c r="I1" s="3" t="s">
        <v>16</v>
      </c>
      <c r="J1" s="3" t="s">
        <v>17</v>
      </c>
      <c r="K1" s="3" t="s">
        <v>18</v>
      </c>
    </row>
    <row r="2" spans="1:11" ht="27.6" x14ac:dyDescent="0.25">
      <c r="A2" s="4" t="s">
        <v>25</v>
      </c>
      <c r="B2" s="4" t="s">
        <v>19</v>
      </c>
      <c r="C2" s="4" t="s">
        <v>20</v>
      </c>
      <c r="D2" s="8">
        <v>0.98</v>
      </c>
      <c r="E2" s="9">
        <v>0.95</v>
      </c>
      <c r="F2" s="4" t="s">
        <v>31</v>
      </c>
      <c r="G2" s="4">
        <v>1</v>
      </c>
      <c r="H2" s="4" t="s">
        <v>58</v>
      </c>
      <c r="I2" s="4" t="s">
        <v>32</v>
      </c>
      <c r="J2" s="4" t="s">
        <v>24</v>
      </c>
      <c r="K2" s="10">
        <v>45997</v>
      </c>
    </row>
    <row r="3" spans="1:11" ht="55.2" x14ac:dyDescent="0.25">
      <c r="A3" s="4" t="s">
        <v>25</v>
      </c>
      <c r="B3" s="4" t="s">
        <v>19</v>
      </c>
      <c r="C3" s="4" t="s">
        <v>20</v>
      </c>
      <c r="D3" s="9">
        <v>0.98</v>
      </c>
      <c r="E3" s="9">
        <v>0.95</v>
      </c>
      <c r="F3" s="4" t="s">
        <v>33</v>
      </c>
      <c r="G3" s="4">
        <v>1</v>
      </c>
      <c r="H3" s="4" t="s">
        <v>40</v>
      </c>
      <c r="I3" s="4" t="s">
        <v>34</v>
      </c>
      <c r="J3" s="4" t="s">
        <v>24</v>
      </c>
      <c r="K3" s="10">
        <v>45997</v>
      </c>
    </row>
    <row r="4" spans="1:11" ht="27.6" x14ac:dyDescent="0.25">
      <c r="A4" s="4" t="s">
        <v>25</v>
      </c>
      <c r="B4" s="4" t="s">
        <v>19</v>
      </c>
      <c r="C4" s="4" t="s">
        <v>20</v>
      </c>
      <c r="D4" s="9">
        <v>0.98</v>
      </c>
      <c r="E4" s="9">
        <v>0.95</v>
      </c>
      <c r="F4" s="4" t="s">
        <v>26</v>
      </c>
      <c r="G4" s="4">
        <v>1</v>
      </c>
      <c r="H4" s="4" t="s">
        <v>30</v>
      </c>
      <c r="I4" s="4" t="s">
        <v>35</v>
      </c>
      <c r="J4" s="4" t="s">
        <v>24</v>
      </c>
      <c r="K4" s="10">
        <v>45997</v>
      </c>
    </row>
    <row r="5" spans="1:11" ht="27.6" x14ac:dyDescent="0.25">
      <c r="A5" s="4" t="s">
        <v>36</v>
      </c>
      <c r="B5" s="4" t="s">
        <v>37</v>
      </c>
      <c r="C5" s="4" t="s">
        <v>38</v>
      </c>
      <c r="D5" s="9">
        <v>0.93</v>
      </c>
      <c r="E5" s="9">
        <v>0.95</v>
      </c>
      <c r="F5" s="4" t="s">
        <v>39</v>
      </c>
      <c r="G5" s="4">
        <v>2</v>
      </c>
      <c r="H5" s="4" t="s">
        <v>58</v>
      </c>
      <c r="I5" s="4" t="s">
        <v>41</v>
      </c>
      <c r="J5" s="4" t="s">
        <v>24</v>
      </c>
      <c r="K5" s="10">
        <v>45713</v>
      </c>
    </row>
    <row r="6" spans="1:11" ht="27.6" x14ac:dyDescent="0.25">
      <c r="A6" s="4" t="s">
        <v>36</v>
      </c>
      <c r="B6" s="4" t="s">
        <v>37</v>
      </c>
      <c r="C6" s="4" t="s">
        <v>38</v>
      </c>
      <c r="D6" s="9"/>
      <c r="E6" s="9">
        <v>0.95</v>
      </c>
      <c r="F6" s="4" t="s">
        <v>42</v>
      </c>
      <c r="G6" s="4">
        <v>3</v>
      </c>
      <c r="H6" s="4" t="s">
        <v>58</v>
      </c>
      <c r="I6" s="4" t="s">
        <v>46</v>
      </c>
      <c r="J6" s="4" t="s">
        <v>24</v>
      </c>
      <c r="K6" s="10">
        <v>45713</v>
      </c>
    </row>
    <row r="7" spans="1:11" ht="27.6" x14ac:dyDescent="0.25">
      <c r="A7" s="4" t="s">
        <v>36</v>
      </c>
      <c r="B7" s="4" t="s">
        <v>37</v>
      </c>
      <c r="C7" s="4" t="s">
        <v>38</v>
      </c>
      <c r="D7" s="9"/>
      <c r="E7" s="9">
        <v>0.95</v>
      </c>
      <c r="F7" s="4" t="s">
        <v>43</v>
      </c>
      <c r="G7" s="4">
        <v>1</v>
      </c>
      <c r="H7" s="4" t="s">
        <v>44</v>
      </c>
      <c r="I7" s="4" t="s">
        <v>45</v>
      </c>
      <c r="J7" s="4" t="s">
        <v>24</v>
      </c>
      <c r="K7" s="10">
        <v>45713</v>
      </c>
    </row>
    <row r="8" spans="1:11" ht="41.4" x14ac:dyDescent="0.25">
      <c r="A8" s="4" t="s">
        <v>36</v>
      </c>
      <c r="B8" s="4" t="s">
        <v>37</v>
      </c>
      <c r="C8" s="4" t="s">
        <v>38</v>
      </c>
      <c r="D8" s="9"/>
      <c r="E8" s="9">
        <v>0.95</v>
      </c>
      <c r="F8" s="4" t="s">
        <v>47</v>
      </c>
      <c r="G8" s="4">
        <v>4</v>
      </c>
      <c r="H8" s="4" t="s">
        <v>58</v>
      </c>
      <c r="I8" s="4" t="s">
        <v>48</v>
      </c>
      <c r="J8" s="4" t="s">
        <v>24</v>
      </c>
      <c r="K8" s="10">
        <v>45713</v>
      </c>
    </row>
    <row r="9" spans="1:11" ht="27.6" x14ac:dyDescent="0.25">
      <c r="A9" s="4" t="s">
        <v>49</v>
      </c>
      <c r="B9" s="4" t="s">
        <v>37</v>
      </c>
      <c r="C9" s="4" t="s">
        <v>38</v>
      </c>
      <c r="D9" s="9">
        <v>1</v>
      </c>
      <c r="E9" s="9">
        <v>0.95</v>
      </c>
      <c r="F9" s="4" t="s">
        <v>50</v>
      </c>
      <c r="G9" s="4"/>
      <c r="H9" s="4" t="s">
        <v>59</v>
      </c>
      <c r="I9" s="4" t="s">
        <v>51</v>
      </c>
      <c r="J9" s="4" t="s">
        <v>24</v>
      </c>
      <c r="K9" s="10">
        <v>45715</v>
      </c>
    </row>
    <row r="10" spans="1:11" ht="27.6" x14ac:dyDescent="0.25">
      <c r="A10" s="4" t="s">
        <v>52</v>
      </c>
      <c r="B10" s="4" t="s">
        <v>53</v>
      </c>
      <c r="C10" s="4" t="s">
        <v>20</v>
      </c>
      <c r="D10" s="9">
        <v>0.97</v>
      </c>
      <c r="E10" s="9">
        <v>0.95</v>
      </c>
      <c r="F10" s="4" t="s">
        <v>54</v>
      </c>
      <c r="G10" s="4">
        <v>5</v>
      </c>
      <c r="H10" s="4" t="s">
        <v>58</v>
      </c>
      <c r="I10" s="4" t="s">
        <v>55</v>
      </c>
      <c r="J10" s="4" t="s">
        <v>24</v>
      </c>
      <c r="K10" s="10">
        <v>45741</v>
      </c>
    </row>
    <row r="11" spans="1:11" ht="27.6" x14ac:dyDescent="0.25">
      <c r="A11" s="4" t="s">
        <v>52</v>
      </c>
      <c r="B11" s="4" t="s">
        <v>53</v>
      </c>
      <c r="C11" s="4" t="s">
        <v>20</v>
      </c>
      <c r="D11" s="9">
        <v>0.97</v>
      </c>
      <c r="E11" s="9">
        <v>0.95</v>
      </c>
      <c r="F11" s="4" t="s">
        <v>56</v>
      </c>
      <c r="G11" s="4">
        <v>6</v>
      </c>
      <c r="H11" s="4" t="s">
        <v>58</v>
      </c>
      <c r="I11" s="4" t="s">
        <v>57</v>
      </c>
      <c r="J11" s="4" t="s">
        <v>24</v>
      </c>
      <c r="K11" s="10">
        <v>45741</v>
      </c>
    </row>
    <row r="12" spans="1:11" ht="27.6" x14ac:dyDescent="0.25">
      <c r="A12" s="4" t="s">
        <v>60</v>
      </c>
      <c r="B12" s="4" t="s">
        <v>53</v>
      </c>
      <c r="C12" s="4" t="s">
        <v>20</v>
      </c>
      <c r="D12" s="9">
        <v>0.99</v>
      </c>
      <c r="E12" s="9">
        <v>0.95</v>
      </c>
      <c r="F12" s="4" t="s">
        <v>61</v>
      </c>
      <c r="G12" s="4">
        <v>1</v>
      </c>
      <c r="H12" s="4" t="s">
        <v>62</v>
      </c>
      <c r="I12" s="4" t="s">
        <v>63</v>
      </c>
      <c r="J12" s="4" t="s">
        <v>24</v>
      </c>
      <c r="K12" s="10">
        <v>45776</v>
      </c>
    </row>
    <row r="13" spans="1:11" ht="27.6" x14ac:dyDescent="0.25">
      <c r="A13" s="4" t="s">
        <v>64</v>
      </c>
      <c r="B13" s="4" t="s">
        <v>53</v>
      </c>
      <c r="C13" s="4" t="s">
        <v>65</v>
      </c>
      <c r="D13" s="9">
        <v>0.98060000000000003</v>
      </c>
      <c r="E13" s="9">
        <v>0.95</v>
      </c>
      <c r="F13" s="4" t="s">
        <v>66</v>
      </c>
      <c r="G13" s="4">
        <v>1</v>
      </c>
      <c r="H13" s="4" t="s">
        <v>67</v>
      </c>
      <c r="I13" s="4" t="s">
        <v>68</v>
      </c>
      <c r="J13" s="4" t="s">
        <v>24</v>
      </c>
      <c r="K13" s="10">
        <v>45777</v>
      </c>
    </row>
    <row r="14" spans="1:11" ht="27.6" x14ac:dyDescent="0.25">
      <c r="A14" s="4" t="s">
        <v>69</v>
      </c>
      <c r="B14" s="4" t="s">
        <v>70</v>
      </c>
      <c r="C14" s="4" t="s">
        <v>20</v>
      </c>
      <c r="D14" s="9">
        <v>0.99</v>
      </c>
      <c r="E14" s="9">
        <v>0.95</v>
      </c>
      <c r="F14" s="4" t="s">
        <v>71</v>
      </c>
      <c r="G14" s="4">
        <v>2</v>
      </c>
      <c r="H14" s="4" t="s">
        <v>44</v>
      </c>
      <c r="I14" s="4" t="s">
        <v>72</v>
      </c>
      <c r="J14" s="4" t="s">
        <v>24</v>
      </c>
      <c r="K14" s="10">
        <v>45774</v>
      </c>
    </row>
    <row r="15" spans="1:11" ht="27.6" x14ac:dyDescent="0.25">
      <c r="A15" s="4" t="s">
        <v>73</v>
      </c>
      <c r="B15" s="4" t="s">
        <v>70</v>
      </c>
      <c r="C15" s="4" t="s">
        <v>65</v>
      </c>
      <c r="D15" s="9">
        <v>0.97</v>
      </c>
      <c r="E15" s="9">
        <v>0.95</v>
      </c>
      <c r="F15" s="4" t="s">
        <v>74</v>
      </c>
      <c r="G15" s="4">
        <v>3</v>
      </c>
      <c r="H15" s="4" t="s">
        <v>44</v>
      </c>
      <c r="I15" s="4" t="s">
        <v>75</v>
      </c>
      <c r="J15" s="4" t="s">
        <v>24</v>
      </c>
      <c r="K15" s="10">
        <v>45786</v>
      </c>
    </row>
    <row r="16" spans="1:11" ht="27.6" x14ac:dyDescent="0.25">
      <c r="A16" s="4" t="s">
        <v>76</v>
      </c>
      <c r="B16" s="4" t="s">
        <v>77</v>
      </c>
      <c r="C16" s="4" t="s">
        <v>38</v>
      </c>
      <c r="D16" s="9">
        <v>0.96</v>
      </c>
      <c r="E16" s="9">
        <v>0.95</v>
      </c>
      <c r="F16" s="4" t="s">
        <v>78</v>
      </c>
      <c r="G16" s="4">
        <v>7</v>
      </c>
      <c r="H16" s="4" t="s">
        <v>58</v>
      </c>
      <c r="I16" s="4" t="s">
        <v>79</v>
      </c>
      <c r="J16" s="4" t="s">
        <v>24</v>
      </c>
      <c r="K16" s="10">
        <v>45785</v>
      </c>
    </row>
    <row r="17" spans="1:11" ht="41.4" x14ac:dyDescent="0.25">
      <c r="A17" s="4" t="s">
        <v>76</v>
      </c>
      <c r="B17" s="4" t="s">
        <v>77</v>
      </c>
      <c r="C17" s="4" t="s">
        <v>38</v>
      </c>
      <c r="D17" s="9">
        <v>0.96</v>
      </c>
      <c r="E17" s="9">
        <v>0.95</v>
      </c>
      <c r="F17" s="4" t="s">
        <v>80</v>
      </c>
      <c r="G17" s="4">
        <v>8</v>
      </c>
      <c r="H17" s="4" t="s">
        <v>58</v>
      </c>
      <c r="I17" s="4" t="s">
        <v>81</v>
      </c>
      <c r="J17" s="4" t="s">
        <v>24</v>
      </c>
      <c r="K17" s="10">
        <v>45785</v>
      </c>
    </row>
    <row r="18" spans="1:11" ht="27.6" x14ac:dyDescent="0.25">
      <c r="A18" s="4" t="s">
        <v>76</v>
      </c>
      <c r="B18" s="4" t="s">
        <v>77</v>
      </c>
      <c r="C18" s="4" t="s">
        <v>38</v>
      </c>
      <c r="D18" s="9">
        <v>0.96</v>
      </c>
      <c r="E18" s="9">
        <v>0.95</v>
      </c>
      <c r="F18" s="4" t="s">
        <v>82</v>
      </c>
      <c r="G18" s="4">
        <v>9</v>
      </c>
      <c r="H18" s="4" t="s">
        <v>58</v>
      </c>
      <c r="I18" s="4" t="s">
        <v>83</v>
      </c>
      <c r="J18" s="4" t="s">
        <v>24</v>
      </c>
      <c r="K18" s="10">
        <v>45785</v>
      </c>
    </row>
    <row r="19" spans="1:11" ht="55.2" x14ac:dyDescent="0.25">
      <c r="A19" s="4" t="s">
        <v>76</v>
      </c>
      <c r="B19" s="4" t="s">
        <v>77</v>
      </c>
      <c r="C19" s="4" t="s">
        <v>38</v>
      </c>
      <c r="D19" s="9">
        <v>0.96</v>
      </c>
      <c r="E19" s="9">
        <v>0.95</v>
      </c>
      <c r="F19" s="4" t="s">
        <v>84</v>
      </c>
      <c r="G19" s="4">
        <v>1</v>
      </c>
      <c r="H19" s="4" t="s">
        <v>85</v>
      </c>
      <c r="I19" s="4" t="s">
        <v>86</v>
      </c>
      <c r="J19" s="4" t="s">
        <v>24</v>
      </c>
      <c r="K19" s="10">
        <v>45785</v>
      </c>
    </row>
    <row r="20" spans="1:11" ht="27.6" x14ac:dyDescent="0.25">
      <c r="A20" s="4" t="s">
        <v>69</v>
      </c>
      <c r="B20" s="4" t="s">
        <v>87</v>
      </c>
      <c r="C20" s="4" t="s">
        <v>20</v>
      </c>
      <c r="D20" s="9">
        <v>0.99</v>
      </c>
      <c r="E20" s="9">
        <v>0.95</v>
      </c>
      <c r="F20" s="4" t="s">
        <v>71</v>
      </c>
      <c r="G20" s="4">
        <v>4</v>
      </c>
      <c r="H20" s="4" t="s">
        <v>44</v>
      </c>
      <c r="I20" s="4" t="s">
        <v>88</v>
      </c>
      <c r="J20" s="4" t="s">
        <v>24</v>
      </c>
      <c r="K20" s="10">
        <v>45774</v>
      </c>
    </row>
    <row r="21" spans="1:11" ht="13.8" x14ac:dyDescent="0.25"/>
    <row r="22" spans="1:11" ht="13.8" x14ac:dyDescent="0.25"/>
  </sheetData>
  <conditionalFormatting sqref="A1:K20">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ED183-8D89-40F0-A26A-18044B23AB76}">
  <dimension ref="A3:B10"/>
  <sheetViews>
    <sheetView workbookViewId="0">
      <selection activeCell="B6" sqref="B6"/>
    </sheetView>
  </sheetViews>
  <sheetFormatPr defaultRowHeight="13.8" x14ac:dyDescent="0.25"/>
  <cols>
    <col min="1" max="1" width="13.296875" customWidth="1"/>
    <col min="2" max="2" width="9.69921875" customWidth="1"/>
  </cols>
  <sheetData>
    <row r="3" spans="1:2" x14ac:dyDescent="0.25">
      <c r="A3" s="5" t="s">
        <v>27</v>
      </c>
      <c r="B3" t="s">
        <v>116</v>
      </c>
    </row>
    <row r="4" spans="1:2" x14ac:dyDescent="0.25">
      <c r="A4" s="6" t="s">
        <v>70</v>
      </c>
      <c r="B4" s="29">
        <v>2</v>
      </c>
    </row>
    <row r="5" spans="1:2" x14ac:dyDescent="0.25">
      <c r="A5" s="6" t="s">
        <v>37</v>
      </c>
      <c r="B5" s="29">
        <v>5</v>
      </c>
    </row>
    <row r="6" spans="1:2" x14ac:dyDescent="0.25">
      <c r="A6" s="6" t="s">
        <v>19</v>
      </c>
      <c r="B6" s="29">
        <v>3</v>
      </c>
    </row>
    <row r="7" spans="1:2" x14ac:dyDescent="0.25">
      <c r="A7" s="6" t="s">
        <v>87</v>
      </c>
      <c r="B7" s="29">
        <v>1</v>
      </c>
    </row>
    <row r="8" spans="1:2" x14ac:dyDescent="0.25">
      <c r="A8" s="6" t="s">
        <v>53</v>
      </c>
      <c r="B8" s="29">
        <v>4</v>
      </c>
    </row>
    <row r="9" spans="1:2" x14ac:dyDescent="0.25">
      <c r="A9" s="6" t="s">
        <v>77</v>
      </c>
      <c r="B9" s="29">
        <v>4</v>
      </c>
    </row>
    <row r="10" spans="1:2" x14ac:dyDescent="0.25">
      <c r="A10" s="6" t="s">
        <v>28</v>
      </c>
      <c r="B10" s="29">
        <v>19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topLeftCell="A16" workbookViewId="0">
      <selection activeCell="A21" sqref="A21:K21"/>
    </sheetView>
  </sheetViews>
  <sheetFormatPr defaultRowHeight="14.4" x14ac:dyDescent="0.25"/>
  <cols>
    <col min="1" max="1" width="10.5" style="4" customWidth="1"/>
    <col min="2" max="2" width="4.09765625" style="4" customWidth="1"/>
    <col min="3" max="3" width="10.8984375" style="4" customWidth="1"/>
    <col min="4" max="5" width="14.5" style="9" customWidth="1"/>
    <col min="6" max="6" width="37.5" style="4" customWidth="1"/>
    <col min="7" max="7" width="24.296875" style="4" customWidth="1"/>
    <col min="8" max="8" width="22.69921875" style="4" customWidth="1"/>
    <col min="9" max="9" width="17.69921875" style="4" customWidth="1"/>
    <col min="10" max="10" width="23.296875" style="4" customWidth="1"/>
    <col min="11" max="16384" width="8.796875" style="4"/>
  </cols>
  <sheetData>
    <row r="1" spans="1:11" ht="28.8" x14ac:dyDescent="0.3">
      <c r="A1" s="3" t="s">
        <v>12</v>
      </c>
      <c r="B1" s="3" t="s">
        <v>115</v>
      </c>
      <c r="C1" s="3" t="s">
        <v>11</v>
      </c>
      <c r="D1" s="3" t="s">
        <v>13</v>
      </c>
      <c r="E1" s="7" t="s">
        <v>22</v>
      </c>
      <c r="F1" s="7" t="s">
        <v>23</v>
      </c>
      <c r="G1" s="3" t="s">
        <v>14</v>
      </c>
      <c r="H1" s="3" t="s">
        <v>15</v>
      </c>
      <c r="I1" s="3" t="s">
        <v>16</v>
      </c>
      <c r="J1" s="3" t="s">
        <v>17</v>
      </c>
      <c r="K1" s="3" t="s">
        <v>18</v>
      </c>
    </row>
    <row r="2" spans="1:11" ht="55.2" x14ac:dyDescent="0.25">
      <c r="A2" s="4" t="s">
        <v>25</v>
      </c>
      <c r="B2" s="4">
        <v>1</v>
      </c>
      <c r="C2" s="4" t="s">
        <v>19</v>
      </c>
      <c r="D2" s="4" t="s">
        <v>20</v>
      </c>
      <c r="E2" s="8">
        <v>0.98</v>
      </c>
      <c r="F2" s="9">
        <v>0.95</v>
      </c>
      <c r="G2" s="4" t="s">
        <v>31</v>
      </c>
      <c r="H2" s="4" t="s">
        <v>58</v>
      </c>
      <c r="I2" s="4" t="s">
        <v>32</v>
      </c>
      <c r="J2" s="4" t="s">
        <v>24</v>
      </c>
      <c r="K2" s="10">
        <v>45997</v>
      </c>
    </row>
    <row r="3" spans="1:11" ht="151.80000000000001" x14ac:dyDescent="0.25">
      <c r="A3" s="4" t="s">
        <v>25</v>
      </c>
      <c r="B3" s="4">
        <v>1</v>
      </c>
      <c r="C3" s="4" t="s">
        <v>19</v>
      </c>
      <c r="D3" s="4" t="s">
        <v>20</v>
      </c>
      <c r="E3" s="9">
        <v>0.98</v>
      </c>
      <c r="F3" s="9">
        <v>0.95</v>
      </c>
      <c r="G3" s="4" t="s">
        <v>33</v>
      </c>
      <c r="H3" s="4" t="s">
        <v>40</v>
      </c>
      <c r="I3" s="4" t="s">
        <v>34</v>
      </c>
      <c r="J3" s="4" t="s">
        <v>24</v>
      </c>
      <c r="K3" s="10">
        <v>45997</v>
      </c>
    </row>
    <row r="4" spans="1:11" ht="27.6" x14ac:dyDescent="0.25">
      <c r="A4" s="4" t="s">
        <v>25</v>
      </c>
      <c r="B4" s="4">
        <v>1</v>
      </c>
      <c r="C4" s="4" t="s">
        <v>19</v>
      </c>
      <c r="D4" s="4" t="s">
        <v>20</v>
      </c>
      <c r="E4" s="9">
        <v>0.98</v>
      </c>
      <c r="F4" s="9">
        <v>0.95</v>
      </c>
      <c r="G4" s="4" t="s">
        <v>26</v>
      </c>
      <c r="H4" s="4" t="s">
        <v>30</v>
      </c>
      <c r="I4" s="4" t="s">
        <v>35</v>
      </c>
      <c r="J4" s="4" t="s">
        <v>24</v>
      </c>
      <c r="K4" s="10">
        <v>45997</v>
      </c>
    </row>
    <row r="5" spans="1:11" ht="55.2" x14ac:dyDescent="0.25">
      <c r="A5" s="4" t="s">
        <v>36</v>
      </c>
      <c r="B5" s="4">
        <v>2</v>
      </c>
      <c r="C5" s="4" t="s">
        <v>37</v>
      </c>
      <c r="D5" s="4" t="s">
        <v>38</v>
      </c>
      <c r="E5" s="9">
        <v>0.93</v>
      </c>
      <c r="F5" s="9">
        <v>0.95</v>
      </c>
      <c r="G5" s="4" t="s">
        <v>39</v>
      </c>
      <c r="H5" s="4" t="s">
        <v>58</v>
      </c>
      <c r="I5" s="4" t="s">
        <v>41</v>
      </c>
      <c r="J5" s="4" t="s">
        <v>24</v>
      </c>
      <c r="K5" s="10">
        <v>45713</v>
      </c>
    </row>
    <row r="6" spans="1:11" ht="69" x14ac:dyDescent="0.25">
      <c r="A6" s="4" t="s">
        <v>36</v>
      </c>
      <c r="B6" s="4">
        <v>2</v>
      </c>
      <c r="C6" s="4" t="s">
        <v>37</v>
      </c>
      <c r="D6" s="4" t="s">
        <v>38</v>
      </c>
      <c r="E6" s="9">
        <v>0.93</v>
      </c>
      <c r="F6" s="9">
        <v>0.95</v>
      </c>
      <c r="G6" s="4" t="s">
        <v>42</v>
      </c>
      <c r="H6" s="4" t="s">
        <v>58</v>
      </c>
      <c r="I6" s="4" t="s">
        <v>46</v>
      </c>
      <c r="J6" s="4" t="s">
        <v>24</v>
      </c>
      <c r="K6" s="10">
        <v>45713</v>
      </c>
    </row>
    <row r="7" spans="1:11" ht="69" x14ac:dyDescent="0.25">
      <c r="A7" s="4" t="s">
        <v>36</v>
      </c>
      <c r="B7" s="4">
        <v>2</v>
      </c>
      <c r="C7" s="4" t="s">
        <v>37</v>
      </c>
      <c r="D7" s="4" t="s">
        <v>38</v>
      </c>
      <c r="E7" s="9">
        <v>0.93</v>
      </c>
      <c r="F7" s="9">
        <v>0.95</v>
      </c>
      <c r="G7" s="4" t="s">
        <v>43</v>
      </c>
      <c r="H7" s="4" t="s">
        <v>44</v>
      </c>
      <c r="I7" s="4" t="s">
        <v>45</v>
      </c>
      <c r="J7" s="4" t="s">
        <v>24</v>
      </c>
      <c r="K7" s="10">
        <v>45713</v>
      </c>
    </row>
    <row r="8" spans="1:11" ht="82.8" x14ac:dyDescent="0.25">
      <c r="A8" s="4" t="s">
        <v>36</v>
      </c>
      <c r="B8" s="4">
        <v>2</v>
      </c>
      <c r="C8" s="4" t="s">
        <v>37</v>
      </c>
      <c r="D8" s="4" t="s">
        <v>38</v>
      </c>
      <c r="E8" s="9">
        <v>0.93</v>
      </c>
      <c r="F8" s="9">
        <v>0.95</v>
      </c>
      <c r="G8" s="4" t="s">
        <v>47</v>
      </c>
      <c r="H8" s="4" t="s">
        <v>58</v>
      </c>
      <c r="I8" s="4" t="s">
        <v>48</v>
      </c>
      <c r="J8" s="4" t="s">
        <v>24</v>
      </c>
      <c r="K8" s="10">
        <v>45713</v>
      </c>
    </row>
    <row r="9" spans="1:11" ht="27.6" x14ac:dyDescent="0.25">
      <c r="A9" s="4" t="s">
        <v>49</v>
      </c>
      <c r="B9" s="4">
        <v>3</v>
      </c>
      <c r="C9" s="4" t="s">
        <v>37</v>
      </c>
      <c r="D9" s="4" t="s">
        <v>38</v>
      </c>
      <c r="E9" s="9">
        <v>1</v>
      </c>
      <c r="F9" s="9">
        <v>0.95</v>
      </c>
      <c r="G9" s="4" t="s">
        <v>50</v>
      </c>
      <c r="H9" s="4" t="s">
        <v>59</v>
      </c>
      <c r="I9" s="4" t="s">
        <v>51</v>
      </c>
      <c r="J9" s="4" t="s">
        <v>24</v>
      </c>
      <c r="K9" s="10">
        <v>45715</v>
      </c>
    </row>
    <row r="10" spans="1:11" ht="55.2" x14ac:dyDescent="0.25">
      <c r="A10" s="4" t="s">
        <v>52</v>
      </c>
      <c r="B10" s="4">
        <v>4</v>
      </c>
      <c r="C10" s="4" t="s">
        <v>53</v>
      </c>
      <c r="D10" s="4" t="s">
        <v>20</v>
      </c>
      <c r="E10" s="9">
        <v>0.97</v>
      </c>
      <c r="F10" s="9">
        <v>0.95</v>
      </c>
      <c r="G10" s="4" t="s">
        <v>54</v>
      </c>
      <c r="H10" s="4" t="s">
        <v>58</v>
      </c>
      <c r="I10" s="4" t="s">
        <v>55</v>
      </c>
      <c r="J10" s="4" t="s">
        <v>24</v>
      </c>
      <c r="K10" s="10">
        <v>45741</v>
      </c>
    </row>
    <row r="11" spans="1:11" ht="27.6" x14ac:dyDescent="0.25">
      <c r="A11" s="4" t="s">
        <v>52</v>
      </c>
      <c r="B11" s="4">
        <v>4</v>
      </c>
      <c r="C11" s="4" t="s">
        <v>53</v>
      </c>
      <c r="D11" s="4" t="s">
        <v>20</v>
      </c>
      <c r="E11" s="9">
        <v>0.97</v>
      </c>
      <c r="F11" s="9">
        <v>0.95</v>
      </c>
      <c r="G11" s="4" t="s">
        <v>56</v>
      </c>
      <c r="H11" s="4" t="s">
        <v>58</v>
      </c>
      <c r="I11" s="4" t="s">
        <v>57</v>
      </c>
      <c r="J11" s="4" t="s">
        <v>24</v>
      </c>
      <c r="K11" s="10">
        <v>45741</v>
      </c>
    </row>
    <row r="12" spans="1:11" ht="55.2" x14ac:dyDescent="0.25">
      <c r="A12" s="4" t="s">
        <v>60</v>
      </c>
      <c r="B12" s="4">
        <v>5</v>
      </c>
      <c r="C12" s="4" t="s">
        <v>53</v>
      </c>
      <c r="D12" s="4" t="s">
        <v>20</v>
      </c>
      <c r="E12" s="9">
        <v>0.99</v>
      </c>
      <c r="F12" s="9">
        <v>0.95</v>
      </c>
      <c r="G12" s="4" t="s">
        <v>61</v>
      </c>
      <c r="H12" s="4" t="s">
        <v>62</v>
      </c>
      <c r="I12" s="4" t="s">
        <v>63</v>
      </c>
      <c r="J12" s="4" t="s">
        <v>24</v>
      </c>
      <c r="K12" s="10">
        <v>45776</v>
      </c>
    </row>
    <row r="13" spans="1:11" ht="69" x14ac:dyDescent="0.25">
      <c r="A13" s="4" t="s">
        <v>64</v>
      </c>
      <c r="B13" s="4">
        <v>5</v>
      </c>
      <c r="C13" s="4" t="s">
        <v>53</v>
      </c>
      <c r="D13" s="4" t="s">
        <v>65</v>
      </c>
      <c r="E13" s="9">
        <v>0.98060000000000003</v>
      </c>
      <c r="F13" s="9">
        <v>0.95</v>
      </c>
      <c r="G13" s="4" t="s">
        <v>66</v>
      </c>
      <c r="H13" s="4" t="s">
        <v>67</v>
      </c>
      <c r="I13" s="4" t="s">
        <v>68</v>
      </c>
      <c r="J13" s="4" t="s">
        <v>24</v>
      </c>
      <c r="K13" s="10">
        <v>45777</v>
      </c>
    </row>
    <row r="14" spans="1:11" ht="69" x14ac:dyDescent="0.25">
      <c r="A14" s="4" t="s">
        <v>69</v>
      </c>
      <c r="B14" s="4">
        <v>6</v>
      </c>
      <c r="C14" s="4" t="s">
        <v>70</v>
      </c>
      <c r="D14" s="4" t="s">
        <v>20</v>
      </c>
      <c r="E14" s="9">
        <v>0.99</v>
      </c>
      <c r="F14" s="9">
        <v>0.95</v>
      </c>
      <c r="G14" s="4" t="s">
        <v>71</v>
      </c>
      <c r="H14" s="4" t="s">
        <v>44</v>
      </c>
      <c r="I14" s="4" t="s">
        <v>72</v>
      </c>
      <c r="J14" s="4" t="s">
        <v>24</v>
      </c>
      <c r="K14" s="10">
        <v>45774</v>
      </c>
    </row>
    <row r="15" spans="1:11" ht="55.2" x14ac:dyDescent="0.25">
      <c r="A15" s="4" t="s">
        <v>73</v>
      </c>
      <c r="B15" s="4">
        <v>7</v>
      </c>
      <c r="C15" s="4" t="s">
        <v>70</v>
      </c>
      <c r="D15" s="4" t="s">
        <v>65</v>
      </c>
      <c r="E15" s="9">
        <v>0.97</v>
      </c>
      <c r="F15" s="9">
        <v>0.95</v>
      </c>
      <c r="G15" s="4" t="s">
        <v>74</v>
      </c>
      <c r="H15" s="4" t="s">
        <v>44</v>
      </c>
      <c r="I15" s="4" t="s">
        <v>75</v>
      </c>
      <c r="J15" s="4" t="s">
        <v>24</v>
      </c>
      <c r="K15" s="10">
        <v>45786</v>
      </c>
    </row>
    <row r="16" spans="1:11" ht="41.4" x14ac:dyDescent="0.25">
      <c r="A16" s="4" t="s">
        <v>76</v>
      </c>
      <c r="B16" s="4">
        <v>8</v>
      </c>
      <c r="C16" s="4" t="s">
        <v>77</v>
      </c>
      <c r="D16" s="4" t="s">
        <v>38</v>
      </c>
      <c r="E16" s="9">
        <v>0.96</v>
      </c>
      <c r="F16" s="9">
        <v>0.95</v>
      </c>
      <c r="G16" s="4" t="s">
        <v>78</v>
      </c>
      <c r="H16" s="4" t="s">
        <v>58</v>
      </c>
      <c r="I16" s="4" t="s">
        <v>79</v>
      </c>
      <c r="J16" s="4" t="s">
        <v>24</v>
      </c>
      <c r="K16" s="10">
        <v>45785</v>
      </c>
    </row>
    <row r="17" spans="1:11" ht="96.6" x14ac:dyDescent="0.25">
      <c r="A17" s="4" t="s">
        <v>76</v>
      </c>
      <c r="B17" s="4">
        <v>8</v>
      </c>
      <c r="C17" s="4" t="s">
        <v>77</v>
      </c>
      <c r="D17" s="4" t="s">
        <v>38</v>
      </c>
      <c r="E17" s="9">
        <v>0.96</v>
      </c>
      <c r="F17" s="9">
        <v>0.95</v>
      </c>
      <c r="G17" s="4" t="s">
        <v>80</v>
      </c>
      <c r="H17" s="4" t="s">
        <v>58</v>
      </c>
      <c r="I17" s="4" t="s">
        <v>81</v>
      </c>
      <c r="J17" s="4" t="s">
        <v>24</v>
      </c>
      <c r="K17" s="10">
        <v>45785</v>
      </c>
    </row>
    <row r="18" spans="1:11" ht="27.6" x14ac:dyDescent="0.25">
      <c r="A18" s="4" t="s">
        <v>76</v>
      </c>
      <c r="B18" s="4">
        <v>8</v>
      </c>
      <c r="C18" s="4" t="s">
        <v>77</v>
      </c>
      <c r="D18" s="4" t="s">
        <v>38</v>
      </c>
      <c r="E18" s="9">
        <v>0.96</v>
      </c>
      <c r="F18" s="9">
        <v>0.95</v>
      </c>
      <c r="G18" s="4" t="s">
        <v>82</v>
      </c>
      <c r="H18" s="4" t="s">
        <v>58</v>
      </c>
      <c r="I18" s="4" t="s">
        <v>83</v>
      </c>
      <c r="J18" s="4" t="s">
        <v>24</v>
      </c>
      <c r="K18" s="10">
        <v>45785</v>
      </c>
    </row>
    <row r="19" spans="1:11" ht="69" x14ac:dyDescent="0.25">
      <c r="A19" s="4" t="s">
        <v>76</v>
      </c>
      <c r="B19" s="4">
        <v>8</v>
      </c>
      <c r="C19" s="4" t="s">
        <v>77</v>
      </c>
      <c r="D19" s="4" t="s">
        <v>38</v>
      </c>
      <c r="E19" s="9">
        <v>0.96</v>
      </c>
      <c r="F19" s="9">
        <v>0.95</v>
      </c>
      <c r="G19" s="4" t="s">
        <v>84</v>
      </c>
      <c r="H19" s="4" t="s">
        <v>85</v>
      </c>
      <c r="I19" s="4" t="s">
        <v>86</v>
      </c>
      <c r="J19" s="4" t="s">
        <v>24</v>
      </c>
      <c r="K19" s="10">
        <v>45785</v>
      </c>
    </row>
    <row r="20" spans="1:11" ht="55.2" x14ac:dyDescent="0.25">
      <c r="A20" s="4" t="s">
        <v>69</v>
      </c>
      <c r="B20" s="4">
        <v>9</v>
      </c>
      <c r="C20" s="4" t="s">
        <v>87</v>
      </c>
      <c r="D20" s="4" t="s">
        <v>20</v>
      </c>
      <c r="E20" s="9">
        <v>0.99</v>
      </c>
      <c r="F20" s="9">
        <v>0.95</v>
      </c>
      <c r="G20" s="4" t="s">
        <v>71</v>
      </c>
      <c r="H20" s="4" t="s">
        <v>44</v>
      </c>
      <c r="I20" s="4" t="s">
        <v>88</v>
      </c>
      <c r="J20" s="4" t="s">
        <v>24</v>
      </c>
      <c r="K20" s="10">
        <v>45774</v>
      </c>
    </row>
    <row r="21" spans="1:11" ht="13.8" x14ac:dyDescent="0.25">
      <c r="F21" s="9"/>
    </row>
  </sheetData>
  <phoneticPr fontId="3" type="noConversion"/>
  <conditionalFormatting sqref="A1:XFD1048576">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A6E6-8872-4A4A-87AA-E7E72BC31CF2}">
  <dimension ref="A3:B12"/>
  <sheetViews>
    <sheetView workbookViewId="0">
      <selection activeCell="A3" sqref="A3:B12"/>
    </sheetView>
  </sheetViews>
  <sheetFormatPr defaultRowHeight="13.8" x14ac:dyDescent="0.25"/>
  <cols>
    <col min="1" max="1" width="24.19921875" bestFit="1" customWidth="1"/>
    <col min="2" max="2" width="9.296875" bestFit="1" customWidth="1"/>
  </cols>
  <sheetData>
    <row r="3" spans="1:2" x14ac:dyDescent="0.25">
      <c r="A3" s="5" t="s">
        <v>196</v>
      </c>
      <c r="B3" t="s">
        <v>116</v>
      </c>
    </row>
    <row r="4" spans="1:2" x14ac:dyDescent="0.25">
      <c r="A4" s="6" t="s">
        <v>190</v>
      </c>
      <c r="B4" s="29">
        <v>1</v>
      </c>
    </row>
    <row r="5" spans="1:2" x14ac:dyDescent="0.25">
      <c r="A5" s="6" t="s">
        <v>134</v>
      </c>
      <c r="B5" s="29">
        <v>7</v>
      </c>
    </row>
    <row r="6" spans="1:2" x14ac:dyDescent="0.25">
      <c r="A6" s="6" t="s">
        <v>145</v>
      </c>
      <c r="B6" s="29">
        <v>17</v>
      </c>
    </row>
    <row r="7" spans="1:2" x14ac:dyDescent="0.25">
      <c r="A7" s="6" t="s">
        <v>185</v>
      </c>
      <c r="B7" s="29">
        <v>7</v>
      </c>
    </row>
    <row r="8" spans="1:2" x14ac:dyDescent="0.25">
      <c r="A8" s="6" t="s">
        <v>161</v>
      </c>
      <c r="B8" s="29">
        <v>10</v>
      </c>
    </row>
    <row r="9" spans="1:2" x14ac:dyDescent="0.25">
      <c r="A9" s="6" t="s">
        <v>192</v>
      </c>
      <c r="B9" s="29">
        <v>1</v>
      </c>
    </row>
    <row r="10" spans="1:2" x14ac:dyDescent="0.25">
      <c r="A10" s="6" t="s">
        <v>175</v>
      </c>
      <c r="B10" s="29">
        <v>10</v>
      </c>
    </row>
    <row r="11" spans="1:2" x14ac:dyDescent="0.25">
      <c r="A11" s="6" t="s">
        <v>184</v>
      </c>
      <c r="B11" s="29">
        <v>10</v>
      </c>
    </row>
    <row r="12" spans="1:2" x14ac:dyDescent="0.25">
      <c r="A12" s="6" t="s">
        <v>28</v>
      </c>
      <c r="B12" s="29">
        <v>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4"/>
  <sheetViews>
    <sheetView topLeftCell="A2" workbookViewId="0">
      <selection activeCell="D59" sqref="D59"/>
    </sheetView>
  </sheetViews>
  <sheetFormatPr defaultRowHeight="13.8" x14ac:dyDescent="0.25"/>
  <cols>
    <col min="1" max="1" width="17" customWidth="1"/>
    <col min="2" max="2" width="4.8984375" customWidth="1"/>
    <col min="3" max="3" width="18.8984375" bestFit="1" customWidth="1"/>
    <col min="4" max="4" width="16.796875" customWidth="1"/>
    <col min="5" max="5" width="11.796875" customWidth="1"/>
    <col min="6" max="6" width="9" customWidth="1"/>
    <col min="7" max="7" width="11.69921875" customWidth="1"/>
  </cols>
  <sheetData>
    <row r="1" spans="1:8" ht="14.4" x14ac:dyDescent="0.3">
      <c r="A1" s="1" t="s">
        <v>4</v>
      </c>
      <c r="B1" s="1" t="s">
        <v>115</v>
      </c>
      <c r="C1" s="1" t="s">
        <v>5</v>
      </c>
      <c r="D1" s="1" t="s">
        <v>6</v>
      </c>
      <c r="E1" s="1" t="s">
        <v>7</v>
      </c>
      <c r="F1" s="1" t="s">
        <v>8</v>
      </c>
      <c r="G1" s="1" t="s">
        <v>9</v>
      </c>
      <c r="H1" s="1" t="s">
        <v>10</v>
      </c>
    </row>
    <row r="2" spans="1:8" x14ac:dyDescent="0.25">
      <c r="A2" t="s">
        <v>132</v>
      </c>
      <c r="B2">
        <v>1</v>
      </c>
      <c r="C2" t="s">
        <v>133</v>
      </c>
      <c r="D2" t="s">
        <v>134</v>
      </c>
      <c r="E2" t="s">
        <v>135</v>
      </c>
      <c r="F2" t="s">
        <v>136</v>
      </c>
      <c r="G2" t="s">
        <v>137</v>
      </c>
      <c r="H2">
        <v>1168</v>
      </c>
    </row>
    <row r="3" spans="1:8" x14ac:dyDescent="0.25">
      <c r="A3" t="s">
        <v>138</v>
      </c>
      <c r="B3">
        <v>2</v>
      </c>
      <c r="C3" t="s">
        <v>139</v>
      </c>
      <c r="D3" t="s">
        <v>134</v>
      </c>
      <c r="E3" t="s">
        <v>135</v>
      </c>
      <c r="F3" t="s">
        <v>136</v>
      </c>
      <c r="G3" t="s">
        <v>137</v>
      </c>
      <c r="H3">
        <v>1166</v>
      </c>
    </row>
    <row r="4" spans="1:8" x14ac:dyDescent="0.25">
      <c r="A4" t="s">
        <v>140</v>
      </c>
      <c r="B4">
        <v>3</v>
      </c>
      <c r="C4" t="s">
        <v>139</v>
      </c>
      <c r="D4" t="s">
        <v>134</v>
      </c>
      <c r="E4" t="s">
        <v>135</v>
      </c>
      <c r="F4" t="s">
        <v>136</v>
      </c>
      <c r="G4" t="s">
        <v>137</v>
      </c>
      <c r="H4">
        <v>1169</v>
      </c>
    </row>
    <row r="5" spans="1:8" x14ac:dyDescent="0.25">
      <c r="A5" t="s">
        <v>141</v>
      </c>
      <c r="B5">
        <v>4</v>
      </c>
      <c r="C5" t="s">
        <v>139</v>
      </c>
      <c r="D5" t="s">
        <v>134</v>
      </c>
      <c r="E5" t="s">
        <v>135</v>
      </c>
      <c r="F5" t="s">
        <v>136</v>
      </c>
      <c r="G5" t="s">
        <v>137</v>
      </c>
      <c r="H5">
        <v>1170</v>
      </c>
    </row>
    <row r="6" spans="1:8" x14ac:dyDescent="0.25">
      <c r="A6" t="s">
        <v>142</v>
      </c>
      <c r="B6">
        <v>5</v>
      </c>
      <c r="C6" t="s">
        <v>133</v>
      </c>
      <c r="D6" t="s">
        <v>134</v>
      </c>
      <c r="E6" t="s">
        <v>135</v>
      </c>
      <c r="F6" t="s">
        <v>136</v>
      </c>
      <c r="G6" t="s">
        <v>137</v>
      </c>
      <c r="H6">
        <v>1171</v>
      </c>
    </row>
    <row r="7" spans="1:8" x14ac:dyDescent="0.25">
      <c r="A7" t="s">
        <v>143</v>
      </c>
      <c r="B7">
        <v>6</v>
      </c>
      <c r="C7" t="s">
        <v>133</v>
      </c>
      <c r="D7" t="s">
        <v>134</v>
      </c>
      <c r="E7" t="s">
        <v>135</v>
      </c>
      <c r="F7" t="s">
        <v>136</v>
      </c>
      <c r="G7" t="s">
        <v>137</v>
      </c>
      <c r="H7">
        <v>1172</v>
      </c>
    </row>
    <row r="8" spans="1:8" x14ac:dyDescent="0.25">
      <c r="A8" t="s">
        <v>144</v>
      </c>
      <c r="B8">
        <v>7</v>
      </c>
      <c r="C8" t="s">
        <v>133</v>
      </c>
      <c r="D8" t="s">
        <v>134</v>
      </c>
      <c r="E8" t="s">
        <v>135</v>
      </c>
      <c r="F8" t="s">
        <v>136</v>
      </c>
      <c r="G8" t="s">
        <v>137</v>
      </c>
      <c r="H8">
        <v>1167</v>
      </c>
    </row>
    <row r="9" spans="1:8" x14ac:dyDescent="0.25">
      <c r="A9" t="s">
        <v>147</v>
      </c>
      <c r="B9">
        <v>1</v>
      </c>
      <c r="C9" t="s">
        <v>148</v>
      </c>
      <c r="D9" t="s">
        <v>145</v>
      </c>
      <c r="E9" t="s">
        <v>69</v>
      </c>
      <c r="F9" t="s">
        <v>146</v>
      </c>
      <c r="G9" t="s">
        <v>137</v>
      </c>
      <c r="H9">
        <v>5101</v>
      </c>
    </row>
    <row r="10" spans="1:8" x14ac:dyDescent="0.25">
      <c r="A10" t="s">
        <v>149</v>
      </c>
      <c r="B10">
        <v>2</v>
      </c>
      <c r="C10" t="s">
        <v>139</v>
      </c>
      <c r="D10" t="s">
        <v>145</v>
      </c>
      <c r="E10" t="s">
        <v>69</v>
      </c>
      <c r="F10" t="s">
        <v>146</v>
      </c>
      <c r="G10" t="s">
        <v>137</v>
      </c>
      <c r="H10">
        <v>5102</v>
      </c>
    </row>
    <row r="11" spans="1:8" x14ac:dyDescent="0.25">
      <c r="A11" t="s">
        <v>132</v>
      </c>
      <c r="B11">
        <v>3</v>
      </c>
      <c r="C11" t="s">
        <v>133</v>
      </c>
      <c r="D11" t="s">
        <v>145</v>
      </c>
      <c r="E11" t="s">
        <v>69</v>
      </c>
      <c r="F11" t="s">
        <v>146</v>
      </c>
      <c r="G11" t="s">
        <v>137</v>
      </c>
      <c r="H11">
        <v>5099</v>
      </c>
    </row>
    <row r="12" spans="1:8" x14ac:dyDescent="0.25">
      <c r="A12" t="s">
        <v>150</v>
      </c>
      <c r="B12">
        <v>4</v>
      </c>
      <c r="C12" t="s">
        <v>139</v>
      </c>
      <c r="D12" t="s">
        <v>145</v>
      </c>
      <c r="E12" t="s">
        <v>69</v>
      </c>
      <c r="F12" t="s">
        <v>146</v>
      </c>
      <c r="G12" t="s">
        <v>137</v>
      </c>
      <c r="H12">
        <v>5103</v>
      </c>
    </row>
    <row r="13" spans="1:8" x14ac:dyDescent="0.25">
      <c r="A13" t="s">
        <v>151</v>
      </c>
      <c r="B13">
        <v>5</v>
      </c>
      <c r="C13" t="s">
        <v>152</v>
      </c>
      <c r="D13" t="s">
        <v>145</v>
      </c>
      <c r="E13" t="s">
        <v>69</v>
      </c>
      <c r="F13" t="s">
        <v>146</v>
      </c>
      <c r="G13" t="s">
        <v>137</v>
      </c>
      <c r="H13">
        <v>5104</v>
      </c>
    </row>
    <row r="14" spans="1:8" x14ac:dyDescent="0.25">
      <c r="A14" t="s">
        <v>153</v>
      </c>
      <c r="B14">
        <v>6</v>
      </c>
      <c r="C14" t="s">
        <v>154</v>
      </c>
      <c r="D14" t="s">
        <v>145</v>
      </c>
      <c r="E14" t="s">
        <v>69</v>
      </c>
      <c r="F14" t="s">
        <v>146</v>
      </c>
      <c r="G14" t="s">
        <v>137</v>
      </c>
      <c r="H14">
        <v>5105</v>
      </c>
    </row>
    <row r="15" spans="1:8" x14ac:dyDescent="0.25">
      <c r="A15" t="s">
        <v>142</v>
      </c>
      <c r="B15">
        <v>7</v>
      </c>
      <c r="C15" t="s">
        <v>133</v>
      </c>
      <c r="D15" t="s">
        <v>145</v>
      </c>
      <c r="E15" t="s">
        <v>69</v>
      </c>
      <c r="F15" t="s">
        <v>146</v>
      </c>
      <c r="G15" t="s">
        <v>137</v>
      </c>
      <c r="H15">
        <v>5106</v>
      </c>
    </row>
    <row r="16" spans="1:8" x14ac:dyDescent="0.25">
      <c r="A16" t="s">
        <v>155</v>
      </c>
      <c r="B16">
        <v>8</v>
      </c>
      <c r="C16" t="s">
        <v>133</v>
      </c>
      <c r="D16" t="s">
        <v>145</v>
      </c>
      <c r="E16" t="s">
        <v>69</v>
      </c>
      <c r="F16" t="s">
        <v>146</v>
      </c>
      <c r="G16" t="s">
        <v>137</v>
      </c>
      <c r="H16">
        <v>5107</v>
      </c>
    </row>
    <row r="17" spans="1:8" x14ac:dyDescent="0.25">
      <c r="A17" t="s">
        <v>156</v>
      </c>
      <c r="B17">
        <v>9</v>
      </c>
      <c r="C17" t="s">
        <v>148</v>
      </c>
      <c r="D17" t="s">
        <v>145</v>
      </c>
      <c r="E17" t="s">
        <v>69</v>
      </c>
      <c r="F17" t="s">
        <v>146</v>
      </c>
      <c r="G17" t="s">
        <v>137</v>
      </c>
      <c r="H17">
        <v>5100</v>
      </c>
    </row>
    <row r="18" spans="1:8" x14ac:dyDescent="0.25">
      <c r="A18" t="s">
        <v>157</v>
      </c>
      <c r="B18">
        <v>10</v>
      </c>
      <c r="C18" t="s">
        <v>152</v>
      </c>
      <c r="D18" t="s">
        <v>145</v>
      </c>
      <c r="E18" t="s">
        <v>69</v>
      </c>
      <c r="F18" t="s">
        <v>146</v>
      </c>
      <c r="G18" t="s">
        <v>137</v>
      </c>
      <c r="H18">
        <v>5108</v>
      </c>
    </row>
    <row r="19" spans="1:8" x14ac:dyDescent="0.25">
      <c r="A19" t="s">
        <v>138</v>
      </c>
      <c r="B19">
        <v>11</v>
      </c>
      <c r="C19" t="s">
        <v>139</v>
      </c>
      <c r="D19" t="s">
        <v>145</v>
      </c>
      <c r="E19" t="s">
        <v>158</v>
      </c>
      <c r="F19" t="s">
        <v>136</v>
      </c>
      <c r="G19" t="s">
        <v>137</v>
      </c>
      <c r="H19">
        <v>1175</v>
      </c>
    </row>
    <row r="20" spans="1:8" x14ac:dyDescent="0.25">
      <c r="A20" t="s">
        <v>140</v>
      </c>
      <c r="B20">
        <v>12</v>
      </c>
      <c r="C20" t="s">
        <v>139</v>
      </c>
      <c r="D20" t="s">
        <v>145</v>
      </c>
      <c r="E20" t="s">
        <v>158</v>
      </c>
      <c r="F20" t="s">
        <v>136</v>
      </c>
      <c r="G20" t="s">
        <v>137</v>
      </c>
      <c r="H20">
        <v>1177</v>
      </c>
    </row>
    <row r="21" spans="1:8" x14ac:dyDescent="0.25">
      <c r="A21" t="s">
        <v>141</v>
      </c>
      <c r="B21">
        <v>13</v>
      </c>
      <c r="C21" t="s">
        <v>139</v>
      </c>
      <c r="D21" t="s">
        <v>145</v>
      </c>
      <c r="E21" t="s">
        <v>158</v>
      </c>
      <c r="F21" t="s">
        <v>136</v>
      </c>
      <c r="G21" t="s">
        <v>137</v>
      </c>
      <c r="H21">
        <v>1174</v>
      </c>
    </row>
    <row r="22" spans="1:8" x14ac:dyDescent="0.25">
      <c r="A22" t="s">
        <v>159</v>
      </c>
      <c r="B22">
        <v>14</v>
      </c>
      <c r="C22" t="s">
        <v>133</v>
      </c>
      <c r="D22" t="s">
        <v>145</v>
      </c>
      <c r="E22" t="s">
        <v>158</v>
      </c>
      <c r="F22" t="s">
        <v>136</v>
      </c>
      <c r="G22" t="s">
        <v>137</v>
      </c>
      <c r="H22">
        <v>2027</v>
      </c>
    </row>
    <row r="23" spans="1:8" x14ac:dyDescent="0.25">
      <c r="A23" t="s">
        <v>160</v>
      </c>
      <c r="B23">
        <v>15</v>
      </c>
      <c r="C23" t="s">
        <v>139</v>
      </c>
      <c r="D23" t="s">
        <v>145</v>
      </c>
      <c r="E23" t="s">
        <v>158</v>
      </c>
      <c r="F23" t="s">
        <v>136</v>
      </c>
      <c r="G23" t="s">
        <v>137</v>
      </c>
      <c r="H23">
        <v>1178</v>
      </c>
    </row>
    <row r="24" spans="1:8" x14ac:dyDescent="0.25">
      <c r="A24" t="s">
        <v>143</v>
      </c>
      <c r="B24">
        <v>16</v>
      </c>
      <c r="C24" t="s">
        <v>133</v>
      </c>
      <c r="D24" t="s">
        <v>145</v>
      </c>
      <c r="E24" t="s">
        <v>158</v>
      </c>
      <c r="F24" t="s">
        <v>136</v>
      </c>
      <c r="G24" t="s">
        <v>137</v>
      </c>
      <c r="H24">
        <v>1173</v>
      </c>
    </row>
    <row r="25" spans="1:8" x14ac:dyDescent="0.25">
      <c r="A25" t="s">
        <v>144</v>
      </c>
      <c r="B25">
        <v>17</v>
      </c>
      <c r="C25" t="s">
        <v>133</v>
      </c>
      <c r="D25" t="s">
        <v>145</v>
      </c>
      <c r="E25" t="s">
        <v>158</v>
      </c>
      <c r="F25" t="s">
        <v>136</v>
      </c>
      <c r="G25" t="s">
        <v>137</v>
      </c>
      <c r="H25">
        <v>1176</v>
      </c>
    </row>
    <row r="26" spans="1:8" x14ac:dyDescent="0.25">
      <c r="A26" t="s">
        <v>138</v>
      </c>
      <c r="B26">
        <v>1</v>
      </c>
      <c r="C26" t="s">
        <v>139</v>
      </c>
      <c r="D26" t="s">
        <v>161</v>
      </c>
      <c r="E26" t="s">
        <v>162</v>
      </c>
      <c r="F26" t="s">
        <v>163</v>
      </c>
      <c r="G26" t="s">
        <v>137</v>
      </c>
      <c r="H26">
        <v>5141</v>
      </c>
    </row>
    <row r="27" spans="1:8" x14ac:dyDescent="0.25">
      <c r="A27" t="s">
        <v>150</v>
      </c>
      <c r="B27">
        <v>2</v>
      </c>
      <c r="C27" t="s">
        <v>139</v>
      </c>
      <c r="D27" t="s">
        <v>161</v>
      </c>
      <c r="E27" t="s">
        <v>162</v>
      </c>
      <c r="F27" t="s">
        <v>163</v>
      </c>
      <c r="G27" t="s">
        <v>137</v>
      </c>
      <c r="H27">
        <v>5142</v>
      </c>
    </row>
    <row r="28" spans="1:8" x14ac:dyDescent="0.25">
      <c r="A28" t="s">
        <v>164</v>
      </c>
      <c r="B28">
        <v>3</v>
      </c>
      <c r="C28" t="s">
        <v>165</v>
      </c>
      <c r="D28" t="s">
        <v>161</v>
      </c>
      <c r="E28" t="s">
        <v>162</v>
      </c>
      <c r="F28" t="s">
        <v>163</v>
      </c>
      <c r="G28" t="s">
        <v>137</v>
      </c>
      <c r="H28">
        <v>5140</v>
      </c>
    </row>
    <row r="29" spans="1:8" x14ac:dyDescent="0.25">
      <c r="A29" t="s">
        <v>159</v>
      </c>
      <c r="B29">
        <v>4</v>
      </c>
      <c r="C29" t="s">
        <v>133</v>
      </c>
      <c r="D29" t="s">
        <v>161</v>
      </c>
      <c r="E29" t="s">
        <v>162</v>
      </c>
      <c r="F29" t="s">
        <v>163</v>
      </c>
      <c r="G29" t="s">
        <v>137</v>
      </c>
      <c r="H29">
        <v>5139</v>
      </c>
    </row>
    <row r="30" spans="1:8" x14ac:dyDescent="0.25">
      <c r="A30" t="s">
        <v>166</v>
      </c>
      <c r="B30">
        <v>5</v>
      </c>
      <c r="C30" t="s">
        <v>169</v>
      </c>
      <c r="D30" t="s">
        <v>161</v>
      </c>
      <c r="E30" t="s">
        <v>162</v>
      </c>
      <c r="F30" t="s">
        <v>163</v>
      </c>
      <c r="G30" t="s">
        <v>137</v>
      </c>
      <c r="H30">
        <v>5138</v>
      </c>
    </row>
    <row r="31" spans="1:8" x14ac:dyDescent="0.25">
      <c r="A31" t="s">
        <v>167</v>
      </c>
      <c r="B31">
        <v>6</v>
      </c>
      <c r="C31" t="s">
        <v>168</v>
      </c>
      <c r="D31" t="s">
        <v>161</v>
      </c>
      <c r="E31" t="s">
        <v>162</v>
      </c>
      <c r="F31" t="s">
        <v>163</v>
      </c>
      <c r="G31" t="s">
        <v>137</v>
      </c>
      <c r="H31">
        <v>5137</v>
      </c>
    </row>
    <row r="32" spans="1:8" x14ac:dyDescent="0.25">
      <c r="A32" t="s">
        <v>156</v>
      </c>
      <c r="B32">
        <v>7</v>
      </c>
      <c r="C32" t="s">
        <v>148</v>
      </c>
      <c r="D32" t="s">
        <v>161</v>
      </c>
      <c r="E32" t="s">
        <v>162</v>
      </c>
      <c r="F32" t="s">
        <v>163</v>
      </c>
      <c r="G32" t="s">
        <v>137</v>
      </c>
      <c r="H32">
        <v>5136</v>
      </c>
    </row>
    <row r="33" spans="1:8" x14ac:dyDescent="0.25">
      <c r="A33" t="s">
        <v>170</v>
      </c>
      <c r="B33">
        <v>8</v>
      </c>
      <c r="C33" t="s">
        <v>171</v>
      </c>
      <c r="D33" t="s">
        <v>161</v>
      </c>
      <c r="E33" t="s">
        <v>162</v>
      </c>
      <c r="F33" t="s">
        <v>163</v>
      </c>
      <c r="G33" t="s">
        <v>137</v>
      </c>
      <c r="H33">
        <v>5143</v>
      </c>
    </row>
    <row r="34" spans="1:8" x14ac:dyDescent="0.25">
      <c r="A34" t="s">
        <v>172</v>
      </c>
      <c r="B34">
        <v>9</v>
      </c>
      <c r="C34" t="s">
        <v>173</v>
      </c>
      <c r="D34" t="s">
        <v>161</v>
      </c>
      <c r="E34" t="s">
        <v>162</v>
      </c>
      <c r="F34" t="s">
        <v>163</v>
      </c>
      <c r="G34" t="s">
        <v>137</v>
      </c>
      <c r="H34">
        <v>5135</v>
      </c>
    </row>
    <row r="35" spans="1:8" x14ac:dyDescent="0.25">
      <c r="A35" t="s">
        <v>174</v>
      </c>
      <c r="B35">
        <v>10</v>
      </c>
      <c r="C35" t="s">
        <v>152</v>
      </c>
      <c r="D35" t="s">
        <v>161</v>
      </c>
      <c r="E35" t="s">
        <v>162</v>
      </c>
      <c r="F35" t="s">
        <v>163</v>
      </c>
      <c r="G35" t="s">
        <v>137</v>
      </c>
      <c r="H35">
        <v>5144</v>
      </c>
    </row>
    <row r="36" spans="1:8" x14ac:dyDescent="0.25">
      <c r="A36" t="s">
        <v>149</v>
      </c>
      <c r="B36">
        <v>1</v>
      </c>
      <c r="C36" t="s">
        <v>177</v>
      </c>
      <c r="D36" t="s">
        <v>175</v>
      </c>
      <c r="E36" t="s">
        <v>64</v>
      </c>
      <c r="F36" t="s">
        <v>176</v>
      </c>
      <c r="G36" t="s">
        <v>137</v>
      </c>
      <c r="H36">
        <v>5110</v>
      </c>
    </row>
    <row r="37" spans="1:8" x14ac:dyDescent="0.25">
      <c r="A37" t="s">
        <v>138</v>
      </c>
      <c r="B37">
        <v>2</v>
      </c>
      <c r="C37" t="s">
        <v>178</v>
      </c>
      <c r="D37" t="s">
        <v>175</v>
      </c>
      <c r="E37" t="s">
        <v>64</v>
      </c>
      <c r="F37" t="s">
        <v>176</v>
      </c>
      <c r="G37" t="s">
        <v>137</v>
      </c>
      <c r="H37">
        <v>5109</v>
      </c>
    </row>
    <row r="38" spans="1:8" x14ac:dyDescent="0.25">
      <c r="A38" t="s">
        <v>150</v>
      </c>
      <c r="B38">
        <v>3</v>
      </c>
      <c r="C38" t="s">
        <v>179</v>
      </c>
      <c r="D38" t="s">
        <v>175</v>
      </c>
      <c r="E38" t="s">
        <v>64</v>
      </c>
      <c r="F38" t="s">
        <v>176</v>
      </c>
      <c r="G38" t="s">
        <v>137</v>
      </c>
      <c r="H38">
        <v>5188</v>
      </c>
    </row>
    <row r="39" spans="1:8" x14ac:dyDescent="0.25">
      <c r="A39" t="s">
        <v>180</v>
      </c>
      <c r="B39">
        <v>4</v>
      </c>
      <c r="C39" t="s">
        <v>181</v>
      </c>
      <c r="D39" t="s">
        <v>175</v>
      </c>
      <c r="E39" t="s">
        <v>64</v>
      </c>
      <c r="F39" t="s">
        <v>176</v>
      </c>
      <c r="G39" t="s">
        <v>137</v>
      </c>
      <c r="H39">
        <v>5112</v>
      </c>
    </row>
    <row r="40" spans="1:8" x14ac:dyDescent="0.25">
      <c r="A40" t="s">
        <v>164</v>
      </c>
      <c r="B40">
        <v>5</v>
      </c>
      <c r="C40" t="s">
        <v>181</v>
      </c>
      <c r="D40" t="s">
        <v>175</v>
      </c>
      <c r="E40" t="s">
        <v>64</v>
      </c>
      <c r="F40" t="s">
        <v>176</v>
      </c>
      <c r="G40" t="s">
        <v>137</v>
      </c>
      <c r="H40">
        <v>5113</v>
      </c>
    </row>
    <row r="41" spans="1:8" x14ac:dyDescent="0.25">
      <c r="A41" t="s">
        <v>159</v>
      </c>
      <c r="B41">
        <v>6</v>
      </c>
      <c r="C41" t="s">
        <v>133</v>
      </c>
      <c r="D41" t="s">
        <v>175</v>
      </c>
      <c r="E41" t="s">
        <v>64</v>
      </c>
      <c r="F41" t="s">
        <v>176</v>
      </c>
      <c r="G41" t="s">
        <v>137</v>
      </c>
      <c r="H41">
        <v>5111</v>
      </c>
    </row>
    <row r="42" spans="1:8" x14ac:dyDescent="0.25">
      <c r="A42" t="s">
        <v>182</v>
      </c>
      <c r="B42">
        <v>7</v>
      </c>
      <c r="C42" t="s">
        <v>169</v>
      </c>
      <c r="D42" t="s">
        <v>175</v>
      </c>
      <c r="E42" t="s">
        <v>64</v>
      </c>
      <c r="F42" t="s">
        <v>176</v>
      </c>
      <c r="G42" t="s">
        <v>137</v>
      </c>
      <c r="H42">
        <v>5114</v>
      </c>
    </row>
    <row r="43" spans="1:8" x14ac:dyDescent="0.25">
      <c r="A43" t="s">
        <v>166</v>
      </c>
      <c r="B43">
        <v>8</v>
      </c>
      <c r="C43" t="s">
        <v>169</v>
      </c>
      <c r="D43" t="s">
        <v>175</v>
      </c>
      <c r="E43" t="s">
        <v>64</v>
      </c>
      <c r="F43" t="s">
        <v>176</v>
      </c>
      <c r="G43" t="s">
        <v>137</v>
      </c>
      <c r="H43">
        <v>5115</v>
      </c>
    </row>
    <row r="44" spans="1:8" x14ac:dyDescent="0.25">
      <c r="A44" t="s">
        <v>183</v>
      </c>
      <c r="B44">
        <v>9</v>
      </c>
      <c r="C44" t="s">
        <v>148</v>
      </c>
      <c r="D44" t="s">
        <v>175</v>
      </c>
      <c r="E44" t="s">
        <v>64</v>
      </c>
      <c r="F44" t="s">
        <v>176</v>
      </c>
      <c r="G44" t="s">
        <v>137</v>
      </c>
      <c r="H44">
        <v>5116</v>
      </c>
    </row>
    <row r="45" spans="1:8" x14ac:dyDescent="0.25">
      <c r="A45" t="s">
        <v>174</v>
      </c>
      <c r="B45">
        <v>10</v>
      </c>
      <c r="C45" t="s">
        <v>152</v>
      </c>
      <c r="D45" t="s">
        <v>175</v>
      </c>
      <c r="E45" t="s">
        <v>64</v>
      </c>
      <c r="F45" t="s">
        <v>176</v>
      </c>
      <c r="G45" t="s">
        <v>137</v>
      </c>
      <c r="H45">
        <v>5117</v>
      </c>
    </row>
    <row r="46" spans="1:8" x14ac:dyDescent="0.25">
      <c r="A46" t="s">
        <v>149</v>
      </c>
      <c r="B46">
        <v>1</v>
      </c>
      <c r="C46" t="s">
        <v>177</v>
      </c>
      <c r="D46" t="s">
        <v>184</v>
      </c>
      <c r="E46" t="s">
        <v>64</v>
      </c>
      <c r="F46" t="s">
        <v>176</v>
      </c>
      <c r="G46" t="s">
        <v>137</v>
      </c>
      <c r="H46">
        <v>5128</v>
      </c>
    </row>
    <row r="47" spans="1:8" x14ac:dyDescent="0.25">
      <c r="A47" t="s">
        <v>138</v>
      </c>
      <c r="B47">
        <v>2</v>
      </c>
      <c r="C47" t="s">
        <v>178</v>
      </c>
      <c r="D47" t="s">
        <v>184</v>
      </c>
      <c r="E47" t="s">
        <v>64</v>
      </c>
      <c r="F47" t="s">
        <v>176</v>
      </c>
      <c r="G47" t="s">
        <v>137</v>
      </c>
      <c r="H47">
        <v>5129</v>
      </c>
    </row>
    <row r="48" spans="1:8" x14ac:dyDescent="0.25">
      <c r="A48" t="s">
        <v>150</v>
      </c>
      <c r="B48">
        <v>3</v>
      </c>
      <c r="C48" t="s">
        <v>179</v>
      </c>
      <c r="D48" t="s">
        <v>184</v>
      </c>
      <c r="E48" t="s">
        <v>64</v>
      </c>
      <c r="F48" t="s">
        <v>176</v>
      </c>
      <c r="G48" t="s">
        <v>137</v>
      </c>
      <c r="H48">
        <v>5120</v>
      </c>
    </row>
    <row r="49" spans="1:8" x14ac:dyDescent="0.25">
      <c r="A49" t="s">
        <v>180</v>
      </c>
      <c r="B49">
        <v>4</v>
      </c>
      <c r="C49" t="s">
        <v>181</v>
      </c>
      <c r="D49" t="s">
        <v>184</v>
      </c>
      <c r="E49" t="s">
        <v>64</v>
      </c>
      <c r="F49" t="s">
        <v>176</v>
      </c>
      <c r="G49" t="s">
        <v>137</v>
      </c>
      <c r="H49">
        <v>5126</v>
      </c>
    </row>
    <row r="50" spans="1:8" x14ac:dyDescent="0.25">
      <c r="A50" t="s">
        <v>164</v>
      </c>
      <c r="B50">
        <v>5</v>
      </c>
      <c r="C50" t="s">
        <v>181</v>
      </c>
      <c r="D50" t="s">
        <v>184</v>
      </c>
      <c r="E50" t="s">
        <v>64</v>
      </c>
      <c r="F50" t="s">
        <v>176</v>
      </c>
      <c r="G50" t="s">
        <v>137</v>
      </c>
      <c r="H50">
        <v>5125</v>
      </c>
    </row>
    <row r="51" spans="1:8" x14ac:dyDescent="0.25">
      <c r="A51" t="s">
        <v>159</v>
      </c>
      <c r="B51">
        <v>6</v>
      </c>
      <c r="C51" t="s">
        <v>133</v>
      </c>
      <c r="D51" t="s">
        <v>184</v>
      </c>
      <c r="E51" t="s">
        <v>64</v>
      </c>
      <c r="F51" t="s">
        <v>176</v>
      </c>
      <c r="G51" t="s">
        <v>137</v>
      </c>
      <c r="H51">
        <v>5127</v>
      </c>
    </row>
    <row r="52" spans="1:8" x14ac:dyDescent="0.25">
      <c r="A52" t="s">
        <v>182</v>
      </c>
      <c r="B52">
        <v>7</v>
      </c>
      <c r="C52" t="s">
        <v>169</v>
      </c>
      <c r="D52" t="s">
        <v>184</v>
      </c>
      <c r="E52" t="s">
        <v>64</v>
      </c>
      <c r="F52" t="s">
        <v>176</v>
      </c>
      <c r="G52" t="s">
        <v>137</v>
      </c>
      <c r="H52">
        <v>5124</v>
      </c>
    </row>
    <row r="53" spans="1:8" x14ac:dyDescent="0.25">
      <c r="A53" t="s">
        <v>166</v>
      </c>
      <c r="B53">
        <v>8</v>
      </c>
      <c r="C53" t="s">
        <v>169</v>
      </c>
      <c r="D53" t="s">
        <v>184</v>
      </c>
      <c r="E53" t="s">
        <v>64</v>
      </c>
      <c r="F53" t="s">
        <v>176</v>
      </c>
      <c r="G53" t="s">
        <v>137</v>
      </c>
      <c r="H53">
        <v>5123</v>
      </c>
    </row>
    <row r="54" spans="1:8" x14ac:dyDescent="0.25">
      <c r="A54" t="s">
        <v>183</v>
      </c>
      <c r="B54">
        <v>9</v>
      </c>
      <c r="C54" t="s">
        <v>148</v>
      </c>
      <c r="D54" t="s">
        <v>184</v>
      </c>
      <c r="E54" t="s">
        <v>64</v>
      </c>
      <c r="F54" t="s">
        <v>176</v>
      </c>
      <c r="G54" t="s">
        <v>137</v>
      </c>
      <c r="H54">
        <v>5122</v>
      </c>
    </row>
    <row r="55" spans="1:8" x14ac:dyDescent="0.25">
      <c r="A55" t="s">
        <v>174</v>
      </c>
      <c r="B55">
        <v>10</v>
      </c>
      <c r="C55" t="s">
        <v>152</v>
      </c>
      <c r="D55" t="s">
        <v>184</v>
      </c>
      <c r="E55" t="s">
        <v>64</v>
      </c>
      <c r="F55" t="s">
        <v>176</v>
      </c>
      <c r="G55" t="s">
        <v>137</v>
      </c>
      <c r="H55">
        <v>5121</v>
      </c>
    </row>
    <row r="56" spans="1:8" x14ac:dyDescent="0.25">
      <c r="A56" t="s">
        <v>132</v>
      </c>
      <c r="B56">
        <v>1</v>
      </c>
      <c r="C56" t="s">
        <v>133</v>
      </c>
      <c r="D56" t="s">
        <v>185</v>
      </c>
      <c r="E56" t="s">
        <v>186</v>
      </c>
      <c r="F56" t="s">
        <v>187</v>
      </c>
      <c r="G56" t="s">
        <v>137</v>
      </c>
      <c r="H56" t="s">
        <v>189</v>
      </c>
    </row>
    <row r="57" spans="1:8" x14ac:dyDescent="0.25">
      <c r="A57" t="s">
        <v>138</v>
      </c>
      <c r="B57">
        <v>2</v>
      </c>
      <c r="C57" t="s">
        <v>178</v>
      </c>
      <c r="D57" t="s">
        <v>185</v>
      </c>
      <c r="E57" t="s">
        <v>186</v>
      </c>
      <c r="F57" t="s">
        <v>187</v>
      </c>
      <c r="G57" t="s">
        <v>137</v>
      </c>
      <c r="H57" t="s">
        <v>189</v>
      </c>
    </row>
    <row r="58" spans="1:8" x14ac:dyDescent="0.25">
      <c r="A58" t="s">
        <v>140</v>
      </c>
      <c r="B58">
        <v>3</v>
      </c>
      <c r="C58" t="s">
        <v>188</v>
      </c>
      <c r="D58" t="s">
        <v>185</v>
      </c>
      <c r="E58" t="s">
        <v>186</v>
      </c>
      <c r="F58" t="s">
        <v>187</v>
      </c>
      <c r="G58" t="s">
        <v>137</v>
      </c>
      <c r="H58" t="s">
        <v>189</v>
      </c>
    </row>
    <row r="59" spans="1:8" x14ac:dyDescent="0.25">
      <c r="A59" t="s">
        <v>141</v>
      </c>
      <c r="B59">
        <v>4</v>
      </c>
      <c r="C59" t="s">
        <v>165</v>
      </c>
      <c r="D59" t="s">
        <v>185</v>
      </c>
      <c r="E59" t="s">
        <v>186</v>
      </c>
      <c r="F59" t="s">
        <v>187</v>
      </c>
      <c r="G59" t="s">
        <v>137</v>
      </c>
      <c r="H59" t="s">
        <v>189</v>
      </c>
    </row>
    <row r="60" spans="1:8" x14ac:dyDescent="0.25">
      <c r="A60" t="s">
        <v>142</v>
      </c>
      <c r="B60">
        <v>5</v>
      </c>
      <c r="C60" t="s">
        <v>133</v>
      </c>
      <c r="D60" t="s">
        <v>185</v>
      </c>
      <c r="E60" t="s">
        <v>186</v>
      </c>
      <c r="F60" t="s">
        <v>187</v>
      </c>
      <c r="G60" t="s">
        <v>137</v>
      </c>
      <c r="H60" t="s">
        <v>189</v>
      </c>
    </row>
    <row r="61" spans="1:8" x14ac:dyDescent="0.25">
      <c r="A61" t="s">
        <v>143</v>
      </c>
      <c r="B61">
        <v>6</v>
      </c>
      <c r="C61" t="s">
        <v>133</v>
      </c>
      <c r="D61" t="s">
        <v>185</v>
      </c>
      <c r="E61" t="s">
        <v>186</v>
      </c>
      <c r="F61" t="s">
        <v>187</v>
      </c>
      <c r="G61" t="s">
        <v>137</v>
      </c>
      <c r="H61" t="s">
        <v>189</v>
      </c>
    </row>
    <row r="62" spans="1:8" x14ac:dyDescent="0.25">
      <c r="A62" t="s">
        <v>144</v>
      </c>
      <c r="B62">
        <v>7</v>
      </c>
      <c r="C62" t="s">
        <v>133</v>
      </c>
      <c r="D62" t="s">
        <v>185</v>
      </c>
      <c r="E62" t="s">
        <v>186</v>
      </c>
      <c r="F62" t="s">
        <v>187</v>
      </c>
      <c r="G62" t="s">
        <v>137</v>
      </c>
      <c r="H62" t="s">
        <v>189</v>
      </c>
    </row>
    <row r="63" spans="1:8" x14ac:dyDescent="0.25">
      <c r="A63" t="s">
        <v>155</v>
      </c>
      <c r="B63">
        <v>1</v>
      </c>
      <c r="C63" t="s">
        <v>133</v>
      </c>
      <c r="D63" t="s">
        <v>190</v>
      </c>
      <c r="E63" t="s">
        <v>191</v>
      </c>
      <c r="F63" t="s">
        <v>193</v>
      </c>
      <c r="G63" t="s">
        <v>137</v>
      </c>
      <c r="H63" t="s">
        <v>189</v>
      </c>
    </row>
    <row r="64" spans="1:8" x14ac:dyDescent="0.25">
      <c r="A64" t="s">
        <v>155</v>
      </c>
      <c r="B64">
        <v>2</v>
      </c>
      <c r="C64" t="s">
        <v>133</v>
      </c>
      <c r="D64" t="s">
        <v>192</v>
      </c>
      <c r="E64" t="s">
        <v>194</v>
      </c>
      <c r="F64" t="s">
        <v>195</v>
      </c>
      <c r="G64" t="s">
        <v>137</v>
      </c>
      <c r="H64" t="s">
        <v>189</v>
      </c>
    </row>
  </sheetData>
  <phoneticPr fontId="3" type="noConversion"/>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555BDE-9A61-4D4B-BBE7-5DADA7D3C0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OCC HSEQ DASHBOARD</vt:lpstr>
      <vt:lpstr>Safe Working Hours Data</vt:lpstr>
      <vt:lpstr>Safe hours - Data</vt:lpstr>
      <vt:lpstr>PT - Audit Data</vt:lpstr>
      <vt:lpstr>Audit data</vt:lpstr>
      <vt:lpstr>Audit Average</vt:lpstr>
      <vt:lpstr>Audit Findings</vt:lpstr>
      <vt:lpstr>Audit Report</vt:lpstr>
      <vt:lpstr>Audit numbers</vt:lpstr>
      <vt:lpstr>Audit &amp; Inspection reports</vt:lpstr>
      <vt:lpstr>Totals training</vt:lpstr>
      <vt:lpstr>Training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Vernon Steenberg</cp:lastModifiedBy>
  <dcterms:created xsi:type="dcterms:W3CDTF">2025-05-22T14:08:30Z</dcterms:created>
  <dcterms:modified xsi:type="dcterms:W3CDTF">2025-05-26T10:24:29Z</dcterms:modified>
</cp:coreProperties>
</file>